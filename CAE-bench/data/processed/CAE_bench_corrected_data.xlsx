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ction factors" sheetId="1" state="visible" r:id="rId3"/>
    <sheet name="Run summary" sheetId="2" state="visible" r:id="rId4"/>
    <sheet name="DATACAE" sheetId="3" state="visible" r:id="rId5"/>
    <sheet name="Result100" sheetId="4" state="visible" r:id="rId6"/>
    <sheet name="Result10bar" sheetId="5" state="visible" r:id="rId7"/>
    <sheet name="Result11" sheetId="6" state="visible" r:id="rId8"/>
    <sheet name="Result31" sheetId="7" state="visible" r:id="rId9"/>
    <sheet name="Result32" sheetId="8" state="visible" r:id="rId10"/>
    <sheet name="Result33" sheetId="9" state="visible" r:id="rId11"/>
    <sheet name="Result34" sheetId="10" state="visible" r:id="rId12"/>
    <sheet name="Result400" sheetId="11" state="visible" r:id="rId13"/>
    <sheet name="ResultNoPID" sheetId="12" state="visible" r:id="rId14"/>
    <sheet name="ResultNoPID2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<sst xmlns="http://schemas.openxmlformats.org/spreadsheetml/2006/main" count="116" uniqueCount="46">
  <si>
    <t xml:space="preserve">CAE bench: correction factors</t>
  </si>
  <si>
    <t xml:space="preserve">Measured serial emission rate (Hz)</t>
  </si>
  <si>
    <t xml:space="preserve">Mean across all 11 runs: samples divided by run duration. Blue = the one measured input.</t>
  </si>
  <si>
    <t xml:space="preserve">Counting window (s)</t>
  </si>
  <si>
    <t xml:space="preserve">What the Arduino delay(200) loop actually delivers.</t>
  </si>
  <si>
    <t xml:space="preserve">Window assumed in CAEPC.py (s)</t>
  </si>
  <si>
    <t xml:space="preserve">Implied by rpm = (ir_pulse_count * 60) / 3.</t>
  </si>
  <si>
    <t xml:space="preserve">RPM correction factor</t>
  </si>
  <si>
    <t xml:space="preserve">Multiply every logged RPM by this to get true engine speed.</t>
  </si>
  <si>
    <t xml:space="preserve">Flow as coded, per pulse</t>
  </si>
  <si>
    <t xml:space="preserve">What the sketch computes per pulse.</t>
  </si>
  <si>
    <t xml:space="preserve">Flow correct, per pulse (L/min)</t>
  </si>
  <si>
    <t xml:space="preserve">YF-S201 datasheet: L/min = Hz / 7.5.</t>
  </si>
  <si>
    <t xml:space="preserve">Flow correction factor</t>
  </si>
  <si>
    <t xml:space="preserve">Divide every logged flow by this to get true L/min.</t>
  </si>
  <si>
    <t xml:space="preserve">Logged speed quantisation (rpm)</t>
  </si>
  <si>
    <t xml:space="preserve">Every one of the 3122 samples is an exact multiple of this.</t>
  </si>
  <si>
    <t xml:space="preserve">True speed quantisation (rpm)</t>
  </si>
  <si>
    <t xml:space="preserve">The real resolution of the three-interrupter IR channel.</t>
  </si>
  <si>
    <t xml:space="preserve">Every data sheet applies these by reference, so editing B4 rescales the whole workbook.</t>
  </si>
  <si>
    <t xml:space="preserve">Source: github.com/AartCodes/RUG-Pneumatic-Engine-experiment at 270cbc5. Original columns are preserved unchanged.</t>
  </si>
  <si>
    <t xml:space="preserve">Run</t>
  </si>
  <si>
    <t xml:space="preserve">Setpoint (rpm)</t>
  </si>
  <si>
    <t xml:space="preserve">Steady-state RPM as logged</t>
  </si>
  <si>
    <t xml:space="preserve">Steady-state RPM corrected</t>
  </si>
  <si>
    <t xml:space="preserve">Mean |error| 40-60 s</t>
  </si>
  <si>
    <t xml:space="preserve">Mean tank pressure (bar)</t>
  </si>
  <si>
    <t xml:space="preserve">Samples</t>
  </si>
  <si>
    <t xml:space="preserve">DATACAE</t>
  </si>
  <si>
    <t xml:space="preserve">Result100</t>
  </si>
  <si>
    <t xml:space="preserve">Result10bar</t>
  </si>
  <si>
    <t xml:space="preserve">Result11</t>
  </si>
  <si>
    <t xml:space="preserve">Result31</t>
  </si>
  <si>
    <t xml:space="preserve">Result32</t>
  </si>
  <si>
    <t xml:space="preserve">Result33</t>
  </si>
  <si>
    <t xml:space="preserve">Result34</t>
  </si>
  <si>
    <t xml:space="preserve">Result400</t>
  </si>
  <si>
    <t xml:space="preserve">ResultNoPID</t>
  </si>
  <si>
    <t xml:space="preserve">ResultNoPID2</t>
  </si>
  <si>
    <t xml:space="preserve">Time (s)</t>
  </si>
  <si>
    <t xml:space="preserve">RPM as logged</t>
  </si>
  <si>
    <t xml:space="preserve">RPM corrected</t>
  </si>
  <si>
    <t xml:space="preserve">Pressure (Bar)</t>
  </si>
  <si>
    <t xml:space="preserve">Flow as logged (mislabelled L/m)</t>
  </si>
  <si>
    <t xml:space="preserve">Flow corrected (L/min)</t>
  </si>
  <si>
    <t xml:space="preserve">Servo Position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</si>
</sst>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"/>
    <numFmt numFmtId="168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76"/>
  </cols>
  <sheetData>
    <row r="1" customFormat="false" ht="17.35" hidden="false" customHeight="false" outlineLevel="0" collapsed="false">
      <c r="A1" s="1" t="s">
        <v>0</v>
      </c>
    </row>
    <row r="4" customFormat="false" ht="15" hidden="false" customHeight="false" outlineLevel="0" collapsed="false">
      <c r="A4" s="2" t="s">
        <v>1</v>
      </c>
      <c r="B4" s="3" t="n">
        <v>4.839</v>
      </c>
      <c r="C4" s="4" t="s">
        <v>2</v>
      </c>
    </row>
    <row r="5" customFormat="false" ht="15" hidden="false" customHeight="false" outlineLevel="0" collapsed="false">
      <c r="A5" s="2" t="s">
        <v>3</v>
      </c>
      <c r="B5" s="5" t="n">
        <f aca="false">1/B4</f>
        <v>0.206654267410622</v>
      </c>
      <c r="C5" s="4" t="s">
        <v>4</v>
      </c>
    </row>
    <row r="6" customFormat="false" ht="15" hidden="false" customHeight="false" outlineLevel="0" collapsed="false">
      <c r="A6" s="2" t="s">
        <v>5</v>
      </c>
      <c r="B6" s="3" t="n">
        <v>1</v>
      </c>
      <c r="C6" s="4" t="s">
        <v>6</v>
      </c>
    </row>
    <row r="7" customFormat="false" ht="15" hidden="false" customHeight="false" outlineLevel="0" collapsed="false">
      <c r="A7" s="2" t="s">
        <v>7</v>
      </c>
      <c r="B7" s="5" t="n">
        <f aca="false">B6/B5</f>
        <v>4.839</v>
      </c>
      <c r="C7" s="4" t="s">
        <v>8</v>
      </c>
    </row>
    <row r="8" customFormat="false" ht="15" hidden="false" customHeight="false" outlineLevel="0" collapsed="false">
      <c r="A8" s="2" t="s">
        <v>9</v>
      </c>
      <c r="B8" s="5" t="n">
        <f aca="false">60/7.5</f>
        <v>8</v>
      </c>
      <c r="C8" s="4" t="s">
        <v>10</v>
      </c>
    </row>
    <row r="9" customFormat="false" ht="15" hidden="false" customHeight="false" outlineLevel="0" collapsed="false">
      <c r="A9" s="2" t="s">
        <v>11</v>
      </c>
      <c r="B9" s="5" t="n">
        <f aca="false">1/(B5*7.5)</f>
        <v>0.6452</v>
      </c>
      <c r="C9" s="4" t="s">
        <v>12</v>
      </c>
    </row>
    <row r="10" customFormat="false" ht="15" hidden="false" customHeight="false" outlineLevel="0" collapsed="false">
      <c r="A10" s="2" t="s">
        <v>13</v>
      </c>
      <c r="B10" s="5" t="n">
        <f aca="false">B8/B9</f>
        <v>12.3992560446373</v>
      </c>
      <c r="C10" s="4" t="s">
        <v>14</v>
      </c>
    </row>
    <row r="11" customFormat="false" ht="15" hidden="false" customHeight="false" outlineLevel="0" collapsed="false">
      <c r="A11" s="2" t="s">
        <v>15</v>
      </c>
      <c r="B11" s="3" t="n">
        <v>20</v>
      </c>
      <c r="C11" s="4" t="s">
        <v>16</v>
      </c>
    </row>
    <row r="12" customFormat="false" ht="15" hidden="false" customHeight="false" outlineLevel="0" collapsed="false">
      <c r="A12" s="2" t="s">
        <v>17</v>
      </c>
      <c r="B12" s="5" t="n">
        <f aca="false">B11*B7</f>
        <v>96.78</v>
      </c>
      <c r="C12" s="4" t="s">
        <v>18</v>
      </c>
    </row>
    <row r="15" customFormat="false" ht="15" hidden="false" customHeight="false" outlineLevel="0" collapsed="false">
      <c r="A15" s="6" t="s">
        <v>19</v>
      </c>
    </row>
    <row r="17" customFormat="false" ht="15" hidden="false" customHeight="false" outlineLevel="0" collapsed="false">
      <c r="A17" s="7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33.75" hidden="false" customHeight="true" outlineLevel="0" collapsed="false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</row>
    <row r="2" customFormat="false" ht="15" hidden="false" customHeight="false" outlineLevel="0" collapsed="false">
      <c r="A2" s="9" t="s">
        <v>28</v>
      </c>
      <c r="B2" s="9" t="n">
        <v>200</v>
      </c>
      <c r="C2" s="9" t="n">
        <v>207.6</v>
      </c>
      <c r="D2" s="9" t="n">
        <v>1005</v>
      </c>
      <c r="E2" s="9" t="n">
        <v>7.58</v>
      </c>
      <c r="F2" s="9" t="n">
        <v>4.8</v>
      </c>
      <c r="G2" s="9" t="n">
        <v>282</v>
      </c>
    </row>
    <row r="3" customFormat="false" ht="15" hidden="false" customHeight="false" outlineLevel="0" collapsed="false">
      <c r="A3" s="9" t="s">
        <v>29</v>
      </c>
      <c r="B3" s="9" t="n">
        <v>100</v>
      </c>
      <c r="C3" s="9" t="n">
        <v>98</v>
      </c>
      <c r="D3" s="9" t="n">
        <v>474</v>
      </c>
      <c r="E3" s="9" t="n">
        <v>97.08</v>
      </c>
      <c r="F3" s="9" t="n">
        <v>5.83</v>
      </c>
      <c r="G3" s="9" t="n">
        <v>285</v>
      </c>
    </row>
    <row r="4" customFormat="false" ht="15" hidden="false" customHeight="false" outlineLevel="0" collapsed="false">
      <c r="A4" s="9" t="s">
        <v>30</v>
      </c>
      <c r="B4" s="9" t="n">
        <v>200</v>
      </c>
      <c r="C4" s="9" t="n">
        <v>200.8</v>
      </c>
      <c r="D4" s="9" t="n">
        <v>972</v>
      </c>
      <c r="E4" s="9" t="n">
        <v>13.68</v>
      </c>
      <c r="F4" s="9" t="n">
        <v>5.3</v>
      </c>
      <c r="G4" s="9" t="n">
        <v>283</v>
      </c>
    </row>
    <row r="5" customFormat="false" ht="15" hidden="false" customHeight="false" outlineLevel="0" collapsed="false">
      <c r="A5" s="9" t="s">
        <v>31</v>
      </c>
      <c r="B5" s="9" t="n">
        <v>200</v>
      </c>
      <c r="C5" s="9" t="n">
        <v>198.8</v>
      </c>
      <c r="D5" s="9" t="n">
        <v>962</v>
      </c>
      <c r="E5" s="9" t="n">
        <v>6.53</v>
      </c>
      <c r="F5" s="9" t="n">
        <v>5.1</v>
      </c>
      <c r="G5" s="9" t="n">
        <v>284</v>
      </c>
    </row>
    <row r="6" customFormat="false" ht="15" hidden="false" customHeight="false" outlineLevel="0" collapsed="false">
      <c r="A6" s="9" t="s">
        <v>32</v>
      </c>
      <c r="B6" s="9" t="n">
        <v>200</v>
      </c>
      <c r="C6" s="9" t="n">
        <v>197.4</v>
      </c>
      <c r="D6" s="9" t="n">
        <v>955</v>
      </c>
      <c r="E6" s="9" t="n">
        <v>5.83</v>
      </c>
      <c r="F6" s="9" t="n">
        <v>5.19</v>
      </c>
      <c r="G6" s="9" t="n">
        <v>284</v>
      </c>
    </row>
    <row r="7" customFormat="false" ht="15" hidden="false" customHeight="false" outlineLevel="0" collapsed="false">
      <c r="A7" s="9" t="s">
        <v>33</v>
      </c>
      <c r="B7" s="9" t="n">
        <v>200</v>
      </c>
      <c r="C7" s="9" t="n">
        <v>197.6</v>
      </c>
      <c r="D7" s="9" t="n">
        <v>956</v>
      </c>
      <c r="E7" s="9" t="n">
        <v>6.12</v>
      </c>
      <c r="F7" s="9" t="n">
        <v>5.04</v>
      </c>
      <c r="G7" s="9" t="n">
        <v>284</v>
      </c>
    </row>
    <row r="8" customFormat="false" ht="15" hidden="false" customHeight="false" outlineLevel="0" collapsed="false">
      <c r="A8" s="9" t="s">
        <v>34</v>
      </c>
      <c r="B8" s="9" t="n">
        <v>200</v>
      </c>
      <c r="C8" s="9" t="n">
        <v>198.2</v>
      </c>
      <c r="D8" s="9" t="n">
        <v>959</v>
      </c>
      <c r="E8" s="9" t="n">
        <v>4.29</v>
      </c>
      <c r="F8" s="9" t="n">
        <v>5.15</v>
      </c>
      <c r="G8" s="9" t="n">
        <v>284</v>
      </c>
    </row>
    <row r="9" customFormat="false" ht="15" hidden="false" customHeight="false" outlineLevel="0" collapsed="false">
      <c r="A9" s="9" t="s">
        <v>35</v>
      </c>
      <c r="B9" s="9" t="n">
        <v>200</v>
      </c>
      <c r="C9" s="9" t="n">
        <v>199</v>
      </c>
      <c r="D9" s="9" t="n">
        <v>963</v>
      </c>
      <c r="E9" s="9" t="n">
        <v>3.51</v>
      </c>
      <c r="F9" s="9" t="n">
        <v>5.15</v>
      </c>
      <c r="G9" s="9" t="n">
        <v>283</v>
      </c>
    </row>
    <row r="10" customFormat="false" ht="15" hidden="false" customHeight="false" outlineLevel="0" collapsed="false">
      <c r="A10" s="9" t="s">
        <v>36</v>
      </c>
      <c r="B10" s="9" t="n">
        <v>400</v>
      </c>
      <c r="C10" s="9" t="n">
        <v>346.3</v>
      </c>
      <c r="D10" s="9" t="n">
        <v>1676</v>
      </c>
      <c r="E10" s="9" t="n">
        <v>53.96</v>
      </c>
      <c r="F10" s="9" t="n">
        <v>2.41</v>
      </c>
      <c r="G10" s="9" t="n">
        <v>285</v>
      </c>
    </row>
    <row r="11" customFormat="false" ht="15" hidden="false" customHeight="false" outlineLevel="0" collapsed="false">
      <c r="A11" s="9" t="s">
        <v>37</v>
      </c>
      <c r="B11" s="9" t="n">
        <v>200</v>
      </c>
      <c r="C11" s="9" t="n">
        <v>301.8</v>
      </c>
      <c r="D11" s="9" t="n">
        <v>1461</v>
      </c>
      <c r="E11" s="9" t="n">
        <v>100.62</v>
      </c>
      <c r="F11" s="9" t="n">
        <v>1.73</v>
      </c>
      <c r="G11" s="9" t="n">
        <v>284</v>
      </c>
    </row>
    <row r="12" customFormat="false" ht="15" hidden="false" customHeight="false" outlineLevel="0" collapsed="false">
      <c r="A12" s="9" t="s">
        <v>38</v>
      </c>
      <c r="B12" s="9" t="n">
        <v>200</v>
      </c>
      <c r="C12" s="9" t="n">
        <v>336.5</v>
      </c>
      <c r="D12" s="9" t="n">
        <v>1629</v>
      </c>
      <c r="E12" s="9" t="n">
        <v>136.49</v>
      </c>
      <c r="F12" s="9" t="n">
        <v>1.78</v>
      </c>
      <c r="G12" s="9" t="n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5"/>
    <col collapsed="false" customWidth="true" hidden="false" outlineLevel="0" max="6" min="5" style="0" width="20"/>
    <col collapsed="false" customWidth="true" hidden="false" outlineLevel="0" max="7" min="7" style="0" width="15"/>
  </cols>
  <sheetData>
    <row r="1" customFormat="false" ht="30" hidden="false" customHeight="tru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</row>
    <row r="2" customFormat="false" ht="15" hidden="false" customHeight="false" outlineLevel="0" collapsed="false">
      <c r="A2" s="10" t="n">
        <v>1.41928291320801</v>
      </c>
      <c r="B2" s="11" t="n">
        <v>0</v>
      </c>
      <c r="C2" s="12" t="n">
        <f aca="false">B2*'Correction factors'!$B$7</f>
        <v>0</v>
      </c>
      <c r="D2" s="13" t="n">
        <v>1.05893</v>
      </c>
      <c r="E2" s="14" t="n">
        <v>0</v>
      </c>
      <c r="F2" s="10" t="n">
        <f aca="false">E2/'Correction factors'!$B$10</f>
        <v>0</v>
      </c>
      <c r="G2" s="11" t="n">
        <v>510</v>
      </c>
    </row>
    <row r="3" customFormat="false" ht="15" hidden="false" customHeight="false" outlineLevel="0" collapsed="false">
      <c r="A3" s="10" t="n">
        <v>1.92062592506409</v>
      </c>
      <c r="B3" s="11" t="n">
        <v>0</v>
      </c>
      <c r="C3" s="12" t="n">
        <f aca="false">B3*'Correction factors'!$B$7</f>
        <v>0</v>
      </c>
      <c r="D3" s="13" t="n">
        <v>1.049108</v>
      </c>
      <c r="E3" s="14" t="n">
        <v>0</v>
      </c>
      <c r="F3" s="10" t="n">
        <f aca="false">E3/'Correction factors'!$B$10</f>
        <v>0</v>
      </c>
      <c r="G3" s="11" t="n">
        <v>237</v>
      </c>
    </row>
    <row r="4" customFormat="false" ht="15" hidden="false" customHeight="false" outlineLevel="0" collapsed="false">
      <c r="A4" s="10" t="n">
        <v>1.92062592506409</v>
      </c>
      <c r="B4" s="11" t="n">
        <v>0</v>
      </c>
      <c r="C4" s="12" t="n">
        <f aca="false">B4*'Correction factors'!$B$7</f>
        <v>0</v>
      </c>
      <c r="D4" s="13" t="n">
        <v>1.05893</v>
      </c>
      <c r="E4" s="14" t="n">
        <v>0</v>
      </c>
      <c r="F4" s="10" t="n">
        <f aca="false">E4/'Correction factors'!$B$10</f>
        <v>0</v>
      </c>
      <c r="G4" s="11" t="n">
        <v>241</v>
      </c>
    </row>
    <row r="5" customFormat="false" ht="15" hidden="false" customHeight="false" outlineLevel="0" collapsed="false">
      <c r="A5" s="10" t="n">
        <v>1.92062592506409</v>
      </c>
      <c r="B5" s="11" t="n">
        <v>0</v>
      </c>
      <c r="C5" s="12" t="n">
        <f aca="false">B5*'Correction factors'!$B$7</f>
        <v>0</v>
      </c>
      <c r="D5" s="13" t="n">
        <v>1.05893</v>
      </c>
      <c r="E5" s="14" t="n">
        <v>0</v>
      </c>
      <c r="F5" s="10" t="n">
        <f aca="false">E5/'Correction factors'!$B$10</f>
        <v>0</v>
      </c>
      <c r="G5" s="11" t="n">
        <v>245</v>
      </c>
    </row>
    <row r="6" customFormat="false" ht="15" hidden="false" customHeight="false" outlineLevel="0" collapsed="false">
      <c r="A6" s="10" t="n">
        <v>2.47920250892639</v>
      </c>
      <c r="B6" s="11" t="n">
        <v>0</v>
      </c>
      <c r="C6" s="12" t="n">
        <f aca="false">B6*'Correction factors'!$B$7</f>
        <v>0</v>
      </c>
      <c r="D6" s="13" t="n">
        <v>1.05893</v>
      </c>
      <c r="E6" s="14" t="n">
        <v>0</v>
      </c>
      <c r="F6" s="10" t="n">
        <f aca="false">E6/'Correction factors'!$B$10</f>
        <v>0</v>
      </c>
      <c r="G6" s="11" t="n">
        <v>255</v>
      </c>
    </row>
    <row r="7" customFormat="false" ht="15" hidden="false" customHeight="false" outlineLevel="0" collapsed="false">
      <c r="A7" s="10" t="n">
        <v>2.47920250892639</v>
      </c>
      <c r="B7" s="11" t="n">
        <v>0</v>
      </c>
      <c r="C7" s="12" t="n">
        <f aca="false">B7*'Correction factors'!$B$7</f>
        <v>0</v>
      </c>
      <c r="D7" s="13" t="n">
        <v>1.05893</v>
      </c>
      <c r="E7" s="14" t="n">
        <v>0</v>
      </c>
      <c r="F7" s="10" t="n">
        <f aca="false">E7/'Correction factors'!$B$10</f>
        <v>0</v>
      </c>
      <c r="G7" s="11" t="n">
        <v>256</v>
      </c>
    </row>
    <row r="8" customFormat="false" ht="15" hidden="false" customHeight="false" outlineLevel="0" collapsed="false">
      <c r="A8" s="10" t="n">
        <v>2.90773701667786</v>
      </c>
      <c r="B8" s="11" t="n">
        <v>0</v>
      </c>
      <c r="C8" s="12" t="n">
        <f aca="false">B8*'Correction factors'!$B$7</f>
        <v>0</v>
      </c>
      <c r="D8" s="13" t="n">
        <v>1.05893</v>
      </c>
      <c r="E8" s="14" t="n">
        <v>0</v>
      </c>
      <c r="F8" s="10" t="n">
        <f aca="false">E8/'Correction factors'!$B$10</f>
        <v>0</v>
      </c>
      <c r="G8" s="11" t="n">
        <v>265</v>
      </c>
    </row>
    <row r="9" customFormat="false" ht="15" hidden="false" customHeight="false" outlineLevel="0" collapsed="false">
      <c r="A9" s="10" t="n">
        <v>2.90773701667786</v>
      </c>
      <c r="B9" s="11" t="n">
        <v>0</v>
      </c>
      <c r="C9" s="12" t="n">
        <f aca="false">B9*'Correction factors'!$B$7</f>
        <v>0</v>
      </c>
      <c r="D9" s="13" t="n">
        <v>1.05893</v>
      </c>
      <c r="E9" s="14" t="n">
        <v>0</v>
      </c>
      <c r="F9" s="10" t="n">
        <f aca="false">E9/'Correction factors'!$B$10</f>
        <v>0</v>
      </c>
      <c r="G9" s="11" t="n">
        <v>266</v>
      </c>
    </row>
    <row r="10" customFormat="false" ht="15" hidden="false" customHeight="false" outlineLevel="0" collapsed="false">
      <c r="A10" s="10" t="n">
        <v>2.90773701667786</v>
      </c>
      <c r="B10" s="11" t="n">
        <v>0</v>
      </c>
      <c r="C10" s="12" t="n">
        <f aca="false">B10*'Correction factors'!$B$7</f>
        <v>0</v>
      </c>
      <c r="D10" s="13" t="n">
        <v>1.049108</v>
      </c>
      <c r="E10" s="14" t="n">
        <v>0</v>
      </c>
      <c r="F10" s="10" t="n">
        <f aca="false">E10/'Correction factors'!$B$10</f>
        <v>0</v>
      </c>
      <c r="G10" s="11" t="n">
        <v>279</v>
      </c>
    </row>
    <row r="11" customFormat="false" ht="15" hidden="false" customHeight="false" outlineLevel="0" collapsed="false">
      <c r="A11" s="10" t="n">
        <v>3.41471529006958</v>
      </c>
      <c r="B11" s="11" t="n">
        <v>0</v>
      </c>
      <c r="C11" s="12" t="n">
        <f aca="false">B11*'Correction factors'!$B$7</f>
        <v>0</v>
      </c>
      <c r="D11" s="13" t="n">
        <v>1.05893</v>
      </c>
      <c r="E11" s="14" t="n">
        <v>0</v>
      </c>
      <c r="F11" s="10" t="n">
        <f aca="false">E11/'Correction factors'!$B$10</f>
        <v>0</v>
      </c>
      <c r="G11" s="11" t="n">
        <v>284</v>
      </c>
    </row>
    <row r="12" customFormat="false" ht="15" hidden="false" customHeight="false" outlineLevel="0" collapsed="false">
      <c r="A12" s="10" t="n">
        <v>3.41471529006958</v>
      </c>
      <c r="B12" s="11" t="n">
        <v>0</v>
      </c>
      <c r="C12" s="12" t="n">
        <f aca="false">B12*'Correction factors'!$B$7</f>
        <v>0</v>
      </c>
      <c r="D12" s="13" t="n">
        <v>1.05893</v>
      </c>
      <c r="E12" s="14" t="n">
        <v>0</v>
      </c>
      <c r="F12" s="10" t="n">
        <f aca="false">E12/'Correction factors'!$B$10</f>
        <v>0</v>
      </c>
      <c r="G12" s="11" t="n">
        <v>286</v>
      </c>
    </row>
    <row r="13" customFormat="false" ht="15" hidden="false" customHeight="false" outlineLevel="0" collapsed="false">
      <c r="A13" s="10" t="n">
        <v>3.88317036628723</v>
      </c>
      <c r="B13" s="11" t="n">
        <v>0</v>
      </c>
      <c r="C13" s="12" t="n">
        <f aca="false">B13*'Correction factors'!$B$7</f>
        <v>0</v>
      </c>
      <c r="D13" s="13" t="n">
        <v>1.05893</v>
      </c>
      <c r="E13" s="14" t="n">
        <v>0</v>
      </c>
      <c r="F13" s="10" t="n">
        <f aca="false">E13/'Correction factors'!$B$10</f>
        <v>0</v>
      </c>
      <c r="G13" s="11" t="n">
        <v>298</v>
      </c>
    </row>
    <row r="14" customFormat="false" ht="15" hidden="false" customHeight="false" outlineLevel="0" collapsed="false">
      <c r="A14" s="10" t="n">
        <v>3.88317036628723</v>
      </c>
      <c r="B14" s="11" t="n">
        <v>0</v>
      </c>
      <c r="C14" s="12" t="n">
        <f aca="false">B14*'Correction factors'!$B$7</f>
        <v>0</v>
      </c>
      <c r="D14" s="13" t="n">
        <v>1.05893</v>
      </c>
      <c r="E14" s="14" t="n">
        <v>0</v>
      </c>
      <c r="F14" s="10" t="n">
        <f aca="false">E14/'Correction factors'!$B$10</f>
        <v>0</v>
      </c>
      <c r="G14" s="11" t="n">
        <v>298</v>
      </c>
    </row>
    <row r="15" customFormat="false" ht="15" hidden="false" customHeight="false" outlineLevel="0" collapsed="false">
      <c r="A15" s="10" t="n">
        <v>4.36586141586304</v>
      </c>
      <c r="B15" s="11" t="n">
        <v>0</v>
      </c>
      <c r="C15" s="12" t="n">
        <f aca="false">B15*'Correction factors'!$B$7</f>
        <v>0</v>
      </c>
      <c r="D15" s="13" t="n">
        <v>1.049108</v>
      </c>
      <c r="E15" s="14" t="n">
        <v>0</v>
      </c>
      <c r="F15" s="10" t="n">
        <f aca="false">E15/'Correction factors'!$B$10</f>
        <v>0</v>
      </c>
      <c r="G15" s="11" t="n">
        <v>310</v>
      </c>
    </row>
    <row r="16" customFormat="false" ht="15" hidden="false" customHeight="false" outlineLevel="0" collapsed="false">
      <c r="A16" s="10" t="n">
        <v>4.36586141586304</v>
      </c>
      <c r="B16" s="11" t="n">
        <v>0</v>
      </c>
      <c r="C16" s="12" t="n">
        <f aca="false">B16*'Correction factors'!$B$7</f>
        <v>0</v>
      </c>
      <c r="D16" s="13" t="n">
        <v>1.05893</v>
      </c>
      <c r="E16" s="14" t="n">
        <v>0</v>
      </c>
      <c r="F16" s="10" t="n">
        <f aca="false">E16/'Correction factors'!$B$10</f>
        <v>0</v>
      </c>
      <c r="G16" s="11" t="n">
        <v>312</v>
      </c>
    </row>
    <row r="17" customFormat="false" ht="15" hidden="false" customHeight="false" outlineLevel="0" collapsed="false">
      <c r="A17" s="10" t="n">
        <v>4.36586141586304</v>
      </c>
      <c r="B17" s="11" t="n">
        <v>0</v>
      </c>
      <c r="C17" s="12" t="n">
        <f aca="false">B17*'Correction factors'!$B$7</f>
        <v>0</v>
      </c>
      <c r="D17" s="13" t="n">
        <v>1.05893</v>
      </c>
      <c r="E17" s="14" t="n">
        <v>0</v>
      </c>
      <c r="F17" s="10" t="n">
        <f aca="false">E17/'Correction factors'!$B$10</f>
        <v>0</v>
      </c>
      <c r="G17" s="11" t="n">
        <v>321</v>
      </c>
    </row>
    <row r="18" customFormat="false" ht="15" hidden="false" customHeight="false" outlineLevel="0" collapsed="false">
      <c r="A18" s="10" t="n">
        <v>4.86968016624451</v>
      </c>
      <c r="B18" s="11" t="n">
        <v>0</v>
      </c>
      <c r="C18" s="12" t="n">
        <f aca="false">B18*'Correction factors'!$B$7</f>
        <v>0</v>
      </c>
      <c r="D18" s="13" t="n">
        <v>1.05893</v>
      </c>
      <c r="E18" s="14" t="n">
        <v>0</v>
      </c>
      <c r="F18" s="10" t="n">
        <f aca="false">E18/'Correction factors'!$B$10</f>
        <v>0</v>
      </c>
      <c r="G18" s="11" t="n">
        <v>328</v>
      </c>
    </row>
    <row r="19" customFormat="false" ht="15" hidden="false" customHeight="false" outlineLevel="0" collapsed="false">
      <c r="A19" s="10" t="n">
        <v>4.86968016624451</v>
      </c>
      <c r="B19" s="11" t="n">
        <v>0</v>
      </c>
      <c r="C19" s="12" t="n">
        <f aca="false">B19*'Correction factors'!$B$7</f>
        <v>0</v>
      </c>
      <c r="D19" s="13" t="n">
        <v>1.05893</v>
      </c>
      <c r="E19" s="14" t="n">
        <v>0</v>
      </c>
      <c r="F19" s="10" t="n">
        <f aca="false">E19/'Correction factors'!$B$10</f>
        <v>0</v>
      </c>
      <c r="G19" s="11" t="n">
        <v>331</v>
      </c>
    </row>
    <row r="20" customFormat="false" ht="15" hidden="false" customHeight="false" outlineLevel="0" collapsed="false">
      <c r="A20" s="10" t="n">
        <v>5.30206274986267</v>
      </c>
      <c r="B20" s="11" t="n">
        <v>0</v>
      </c>
      <c r="C20" s="12" t="n">
        <f aca="false">B20*'Correction factors'!$B$7</f>
        <v>0</v>
      </c>
      <c r="D20" s="13" t="n">
        <v>1.05893</v>
      </c>
      <c r="E20" s="14" t="n">
        <v>0</v>
      </c>
      <c r="F20" s="10" t="n">
        <f aca="false">E20/'Correction factors'!$B$10</f>
        <v>0</v>
      </c>
      <c r="G20" s="11" t="n">
        <v>342</v>
      </c>
    </row>
    <row r="21" customFormat="false" ht="15" hidden="false" customHeight="false" outlineLevel="0" collapsed="false">
      <c r="A21" s="10" t="n">
        <v>5.30206274986267</v>
      </c>
      <c r="B21" s="11" t="n">
        <v>0</v>
      </c>
      <c r="C21" s="12" t="n">
        <f aca="false">B21*'Correction factors'!$B$7</f>
        <v>0</v>
      </c>
      <c r="D21" s="13" t="n">
        <v>1.05893</v>
      </c>
      <c r="E21" s="14" t="n">
        <v>0</v>
      </c>
      <c r="F21" s="10" t="n">
        <f aca="false">E21/'Correction factors'!$B$10</f>
        <v>0</v>
      </c>
      <c r="G21" s="11" t="n">
        <v>344</v>
      </c>
    </row>
    <row r="22" customFormat="false" ht="15" hidden="false" customHeight="false" outlineLevel="0" collapsed="false">
      <c r="A22" s="10" t="n">
        <v>5.75563311576843</v>
      </c>
      <c r="B22" s="11" t="n">
        <v>0</v>
      </c>
      <c r="C22" s="12" t="n">
        <f aca="false">B22*'Correction factors'!$B$7</f>
        <v>0</v>
      </c>
      <c r="D22" s="13" t="n">
        <v>1.05893</v>
      </c>
      <c r="E22" s="14" t="n">
        <v>0</v>
      </c>
      <c r="F22" s="10" t="n">
        <f aca="false">E22/'Correction factors'!$B$10</f>
        <v>0</v>
      </c>
      <c r="G22" s="11" t="n">
        <v>354</v>
      </c>
    </row>
    <row r="23" customFormat="false" ht="15" hidden="false" customHeight="false" outlineLevel="0" collapsed="false">
      <c r="A23" s="10" t="n">
        <v>5.75563311576843</v>
      </c>
      <c r="B23" s="11" t="n">
        <v>0</v>
      </c>
      <c r="C23" s="12" t="n">
        <f aca="false">B23*'Correction factors'!$B$7</f>
        <v>0</v>
      </c>
      <c r="D23" s="13" t="n">
        <v>1.05893</v>
      </c>
      <c r="E23" s="14" t="n">
        <v>0</v>
      </c>
      <c r="F23" s="10" t="n">
        <f aca="false">E23/'Correction factors'!$B$10</f>
        <v>0</v>
      </c>
      <c r="G23" s="11" t="n">
        <v>356</v>
      </c>
    </row>
    <row r="24" customFormat="false" ht="15" hidden="false" customHeight="false" outlineLevel="0" collapsed="false">
      <c r="A24" s="10" t="n">
        <v>6.19120287895203</v>
      </c>
      <c r="B24" s="11" t="n">
        <v>0</v>
      </c>
      <c r="C24" s="12" t="n">
        <f aca="false">B24*'Correction factors'!$B$7</f>
        <v>0</v>
      </c>
      <c r="D24" s="13" t="n">
        <v>1.049108</v>
      </c>
      <c r="E24" s="14" t="n">
        <v>0</v>
      </c>
      <c r="F24" s="10" t="n">
        <f aca="false">E24/'Correction factors'!$B$10</f>
        <v>0</v>
      </c>
      <c r="G24" s="11" t="n">
        <v>366</v>
      </c>
    </row>
    <row r="25" customFormat="false" ht="15" hidden="false" customHeight="false" outlineLevel="0" collapsed="false">
      <c r="A25" s="10" t="n">
        <v>6.19120287895203</v>
      </c>
      <c r="B25" s="11" t="n">
        <v>0</v>
      </c>
      <c r="C25" s="12" t="n">
        <f aca="false">B25*'Correction factors'!$B$7</f>
        <v>0</v>
      </c>
      <c r="D25" s="13" t="n">
        <v>1.05893</v>
      </c>
      <c r="E25" s="14" t="n">
        <v>0</v>
      </c>
      <c r="F25" s="10" t="n">
        <f aca="false">E25/'Correction factors'!$B$10</f>
        <v>0</v>
      </c>
      <c r="G25" s="11" t="n">
        <v>370</v>
      </c>
    </row>
    <row r="26" customFormat="false" ht="15" hidden="false" customHeight="false" outlineLevel="0" collapsed="false">
      <c r="A26" s="10" t="n">
        <v>6.64274835586548</v>
      </c>
      <c r="B26" s="11" t="n">
        <v>0</v>
      </c>
      <c r="C26" s="12" t="n">
        <f aca="false">B26*'Correction factors'!$B$7</f>
        <v>0</v>
      </c>
      <c r="D26" s="13" t="n">
        <v>1.049108</v>
      </c>
      <c r="E26" s="14" t="n">
        <v>0</v>
      </c>
      <c r="F26" s="10" t="n">
        <f aca="false">E26/'Correction factors'!$B$10</f>
        <v>0</v>
      </c>
      <c r="G26" s="11" t="n">
        <v>378</v>
      </c>
    </row>
    <row r="27" customFormat="false" ht="15" hidden="false" customHeight="false" outlineLevel="0" collapsed="false">
      <c r="A27" s="10" t="n">
        <v>6.64274835586548</v>
      </c>
      <c r="B27" s="11" t="n">
        <v>0</v>
      </c>
      <c r="C27" s="12" t="n">
        <f aca="false">B27*'Correction factors'!$B$7</f>
        <v>0</v>
      </c>
      <c r="D27" s="13" t="n">
        <v>1.049108</v>
      </c>
      <c r="E27" s="14" t="n">
        <v>0</v>
      </c>
      <c r="F27" s="10" t="n">
        <f aca="false">E27/'Correction factors'!$B$10</f>
        <v>0</v>
      </c>
      <c r="G27" s="11" t="n">
        <v>381</v>
      </c>
    </row>
    <row r="28" customFormat="false" ht="15" hidden="false" customHeight="false" outlineLevel="0" collapsed="false">
      <c r="A28" s="10" t="n">
        <v>6.64274835586548</v>
      </c>
      <c r="B28" s="11" t="n">
        <v>0</v>
      </c>
      <c r="C28" s="12" t="n">
        <f aca="false">B28*'Correction factors'!$B$7</f>
        <v>0</v>
      </c>
      <c r="D28" s="13" t="n">
        <v>1.05893</v>
      </c>
      <c r="E28" s="14" t="n">
        <v>0</v>
      </c>
      <c r="F28" s="10" t="n">
        <f aca="false">E28/'Correction factors'!$B$10</f>
        <v>0</v>
      </c>
      <c r="G28" s="11" t="n">
        <v>389</v>
      </c>
    </row>
    <row r="29" customFormat="false" ht="15" hidden="false" customHeight="false" outlineLevel="0" collapsed="false">
      <c r="A29" s="10" t="n">
        <v>7.16384077072144</v>
      </c>
      <c r="B29" s="11" t="n">
        <v>0</v>
      </c>
      <c r="C29" s="12" t="n">
        <f aca="false">B29*'Correction factors'!$B$7</f>
        <v>0</v>
      </c>
      <c r="D29" s="13" t="n">
        <v>1.049108</v>
      </c>
      <c r="E29" s="14" t="n">
        <v>0</v>
      </c>
      <c r="F29" s="10" t="n">
        <f aca="false">E29/'Correction factors'!$B$10</f>
        <v>0</v>
      </c>
      <c r="G29" s="11" t="n">
        <v>400</v>
      </c>
    </row>
    <row r="30" customFormat="false" ht="15" hidden="false" customHeight="false" outlineLevel="0" collapsed="false">
      <c r="A30" s="10" t="n">
        <v>7.16384077072144</v>
      </c>
      <c r="B30" s="11" t="n">
        <v>0</v>
      </c>
      <c r="C30" s="12" t="n">
        <f aca="false">B30*'Correction factors'!$B$7</f>
        <v>0</v>
      </c>
      <c r="D30" s="13" t="n">
        <v>1.05893</v>
      </c>
      <c r="E30" s="14" t="n">
        <v>0</v>
      </c>
      <c r="F30" s="10" t="n">
        <f aca="false">E30/'Correction factors'!$B$10</f>
        <v>0</v>
      </c>
      <c r="G30" s="11" t="n">
        <v>401</v>
      </c>
    </row>
    <row r="31" customFormat="false" ht="15" hidden="false" customHeight="false" outlineLevel="0" collapsed="false">
      <c r="A31" s="10" t="n">
        <v>7.61874556541443</v>
      </c>
      <c r="B31" s="11" t="n">
        <v>0</v>
      </c>
      <c r="C31" s="12" t="n">
        <f aca="false">B31*'Correction factors'!$B$7</f>
        <v>0</v>
      </c>
      <c r="D31" s="13" t="n">
        <v>1.049108</v>
      </c>
      <c r="E31" s="14" t="n">
        <v>0</v>
      </c>
      <c r="F31" s="10" t="n">
        <f aca="false">E31/'Correction factors'!$B$10</f>
        <v>0</v>
      </c>
      <c r="G31" s="11" t="n">
        <v>410</v>
      </c>
    </row>
    <row r="32" customFormat="false" ht="15" hidden="false" customHeight="false" outlineLevel="0" collapsed="false">
      <c r="A32" s="10" t="n">
        <v>7.61874556541443</v>
      </c>
      <c r="B32" s="11" t="n">
        <v>0</v>
      </c>
      <c r="C32" s="12" t="n">
        <f aca="false">B32*'Correction factors'!$B$7</f>
        <v>0</v>
      </c>
      <c r="D32" s="13" t="n">
        <v>1.05893</v>
      </c>
      <c r="E32" s="14" t="n">
        <v>0</v>
      </c>
      <c r="F32" s="10" t="n">
        <f aca="false">E32/'Correction factors'!$B$10</f>
        <v>0</v>
      </c>
      <c r="G32" s="11" t="n">
        <v>414</v>
      </c>
    </row>
    <row r="33" customFormat="false" ht="15" hidden="false" customHeight="false" outlineLevel="0" collapsed="false">
      <c r="A33" s="10" t="n">
        <v>8.08216285705566</v>
      </c>
      <c r="B33" s="11" t="n">
        <v>0</v>
      </c>
      <c r="C33" s="12" t="n">
        <f aca="false">B33*'Correction factors'!$B$7</f>
        <v>0</v>
      </c>
      <c r="D33" s="13" t="n">
        <v>1.049108</v>
      </c>
      <c r="E33" s="14" t="n">
        <v>0</v>
      </c>
      <c r="F33" s="10" t="n">
        <f aca="false">E33/'Correction factors'!$B$10</f>
        <v>0</v>
      </c>
      <c r="G33" s="11" t="n">
        <v>423</v>
      </c>
    </row>
    <row r="34" customFormat="false" ht="15" hidden="false" customHeight="false" outlineLevel="0" collapsed="false">
      <c r="A34" s="10" t="n">
        <v>8.08216285705566</v>
      </c>
      <c r="B34" s="11" t="n">
        <v>0</v>
      </c>
      <c r="C34" s="12" t="n">
        <f aca="false">B34*'Correction factors'!$B$7</f>
        <v>0</v>
      </c>
      <c r="D34" s="13" t="n">
        <v>1.049108</v>
      </c>
      <c r="E34" s="14" t="n">
        <v>0</v>
      </c>
      <c r="F34" s="10" t="n">
        <f aca="false">E34/'Correction factors'!$B$10</f>
        <v>0</v>
      </c>
      <c r="G34" s="11" t="n">
        <v>426</v>
      </c>
    </row>
    <row r="35" customFormat="false" ht="15" hidden="false" customHeight="false" outlineLevel="0" collapsed="false">
      <c r="A35" s="10" t="n">
        <v>8.08216285705566</v>
      </c>
      <c r="B35" s="11" t="n">
        <v>0</v>
      </c>
      <c r="C35" s="12" t="n">
        <f aca="false">B35*'Correction factors'!$B$7</f>
        <v>0</v>
      </c>
      <c r="D35" s="13" t="n">
        <v>1.05893</v>
      </c>
      <c r="E35" s="14" t="n">
        <v>0</v>
      </c>
      <c r="F35" s="10" t="n">
        <f aca="false">E35/'Correction factors'!$B$10</f>
        <v>0</v>
      </c>
      <c r="G35" s="11" t="n">
        <v>433</v>
      </c>
    </row>
    <row r="36" customFormat="false" ht="15" hidden="false" customHeight="false" outlineLevel="0" collapsed="false">
      <c r="A36" s="10" t="n">
        <v>8.57238793373108</v>
      </c>
      <c r="B36" s="11" t="n">
        <v>0</v>
      </c>
      <c r="C36" s="12" t="n">
        <f aca="false">B36*'Correction factors'!$B$7</f>
        <v>0</v>
      </c>
      <c r="D36" s="13" t="n">
        <v>1.049108</v>
      </c>
      <c r="E36" s="14" t="n">
        <v>0</v>
      </c>
      <c r="F36" s="10" t="n">
        <f aca="false">E36/'Correction factors'!$B$10</f>
        <v>0</v>
      </c>
      <c r="G36" s="11" t="n">
        <v>444</v>
      </c>
    </row>
    <row r="37" customFormat="false" ht="15" hidden="false" customHeight="false" outlineLevel="0" collapsed="false">
      <c r="A37" s="10" t="n">
        <v>8.57238793373108</v>
      </c>
      <c r="B37" s="11" t="n">
        <v>0</v>
      </c>
      <c r="C37" s="12" t="n">
        <f aca="false">B37*'Correction factors'!$B$7</f>
        <v>0</v>
      </c>
      <c r="D37" s="13" t="n">
        <v>1.05893</v>
      </c>
      <c r="E37" s="14" t="n">
        <v>0</v>
      </c>
      <c r="F37" s="10" t="n">
        <f aca="false">E37/'Correction factors'!$B$10</f>
        <v>0</v>
      </c>
      <c r="G37" s="11" t="n">
        <v>445</v>
      </c>
    </row>
    <row r="38" customFormat="false" ht="15" hidden="false" customHeight="false" outlineLevel="0" collapsed="false">
      <c r="A38" s="10" t="n">
        <v>9.04242873191834</v>
      </c>
      <c r="B38" s="11" t="n">
        <v>0</v>
      </c>
      <c r="C38" s="12" t="n">
        <f aca="false">B38*'Correction factors'!$B$7</f>
        <v>0</v>
      </c>
      <c r="D38" s="13" t="n">
        <v>1.049108</v>
      </c>
      <c r="E38" s="14" t="n">
        <v>0</v>
      </c>
      <c r="F38" s="10" t="n">
        <f aca="false">E38/'Correction factors'!$B$10</f>
        <v>0</v>
      </c>
      <c r="G38" s="11" t="n">
        <v>452</v>
      </c>
    </row>
    <row r="39" customFormat="false" ht="15" hidden="false" customHeight="false" outlineLevel="0" collapsed="false">
      <c r="A39" s="10" t="n">
        <v>9.04242873191834</v>
      </c>
      <c r="B39" s="11" t="n">
        <v>0</v>
      </c>
      <c r="C39" s="12" t="n">
        <f aca="false">B39*'Correction factors'!$B$7</f>
        <v>0</v>
      </c>
      <c r="D39" s="13" t="n">
        <v>1.049108</v>
      </c>
      <c r="E39" s="14" t="n">
        <v>0</v>
      </c>
      <c r="F39" s="10" t="n">
        <f aca="false">E39/'Correction factors'!$B$10</f>
        <v>0</v>
      </c>
      <c r="G39" s="11" t="n">
        <v>457</v>
      </c>
    </row>
    <row r="40" customFormat="false" ht="15" hidden="false" customHeight="false" outlineLevel="0" collapsed="false">
      <c r="A40" s="10" t="n">
        <v>9.47222876548767</v>
      </c>
      <c r="B40" s="11" t="n">
        <v>0</v>
      </c>
      <c r="C40" s="12" t="n">
        <f aca="false">B40*'Correction factors'!$B$7</f>
        <v>0</v>
      </c>
      <c r="D40" s="13" t="n">
        <v>1.039286</v>
      </c>
      <c r="E40" s="14" t="n">
        <v>0</v>
      </c>
      <c r="F40" s="10" t="n">
        <f aca="false">E40/'Correction factors'!$B$10</f>
        <v>0</v>
      </c>
      <c r="G40" s="11" t="n">
        <v>467</v>
      </c>
    </row>
    <row r="41" customFormat="false" ht="15" hidden="false" customHeight="false" outlineLevel="0" collapsed="false">
      <c r="A41" s="10" t="n">
        <v>9.47222876548767</v>
      </c>
      <c r="B41" s="11" t="n">
        <v>0</v>
      </c>
      <c r="C41" s="12" t="n">
        <f aca="false">B41*'Correction factors'!$B$7</f>
        <v>0</v>
      </c>
      <c r="D41" s="13" t="n">
        <v>1.049108</v>
      </c>
      <c r="E41" s="14" t="n">
        <v>0</v>
      </c>
      <c r="F41" s="10" t="n">
        <f aca="false">E41/'Correction factors'!$B$10</f>
        <v>0</v>
      </c>
      <c r="G41" s="11" t="n">
        <v>468</v>
      </c>
    </row>
    <row r="42" customFormat="false" ht="15" hidden="false" customHeight="false" outlineLevel="0" collapsed="false">
      <c r="A42" s="10" t="n">
        <v>9.89603185653687</v>
      </c>
      <c r="B42" s="11" t="n">
        <v>0</v>
      </c>
      <c r="C42" s="12" t="n">
        <f aca="false">B42*'Correction factors'!$B$7</f>
        <v>0</v>
      </c>
      <c r="D42" s="13" t="n">
        <v>1.049108</v>
      </c>
      <c r="E42" s="14" t="n">
        <v>0</v>
      </c>
      <c r="F42" s="10" t="n">
        <f aca="false">E42/'Correction factors'!$B$10</f>
        <v>0</v>
      </c>
      <c r="G42" s="11" t="n">
        <v>478</v>
      </c>
    </row>
    <row r="43" customFormat="false" ht="15" hidden="false" customHeight="false" outlineLevel="0" collapsed="false">
      <c r="A43" s="10" t="n">
        <v>9.89603185653687</v>
      </c>
      <c r="B43" s="11" t="n">
        <v>0</v>
      </c>
      <c r="C43" s="12" t="n">
        <f aca="false">B43*'Correction factors'!$B$7</f>
        <v>0</v>
      </c>
      <c r="D43" s="13" t="n">
        <v>1.05893</v>
      </c>
      <c r="E43" s="14" t="n">
        <v>0</v>
      </c>
      <c r="F43" s="10" t="n">
        <f aca="false">E43/'Correction factors'!$B$10</f>
        <v>0</v>
      </c>
      <c r="G43" s="11" t="n">
        <v>481</v>
      </c>
    </row>
    <row r="44" customFormat="false" ht="15" hidden="false" customHeight="false" outlineLevel="0" collapsed="false">
      <c r="A44" s="10" t="n">
        <v>10.3219335079193</v>
      </c>
      <c r="B44" s="11" t="n">
        <v>0</v>
      </c>
      <c r="C44" s="12" t="n">
        <f aca="false">B44*'Correction factors'!$B$7</f>
        <v>0</v>
      </c>
      <c r="D44" s="13" t="n">
        <v>1.726798</v>
      </c>
      <c r="E44" s="14" t="n">
        <v>136</v>
      </c>
      <c r="F44" s="10" t="n">
        <f aca="false">E44/'Correction factors'!$B$10</f>
        <v>10.9684</v>
      </c>
      <c r="G44" s="11" t="n">
        <v>490</v>
      </c>
    </row>
    <row r="45" customFormat="false" ht="15" hidden="false" customHeight="false" outlineLevel="0" collapsed="false">
      <c r="A45" s="10" t="n">
        <v>10.3219335079193</v>
      </c>
      <c r="B45" s="11" t="n">
        <v>0</v>
      </c>
      <c r="C45" s="12" t="n">
        <f aca="false">B45*'Correction factors'!$B$7</f>
        <v>0</v>
      </c>
      <c r="D45" s="13" t="n">
        <v>1.854479</v>
      </c>
      <c r="E45" s="14" t="n">
        <v>304</v>
      </c>
      <c r="F45" s="10" t="n">
        <f aca="false">E45/'Correction factors'!$B$10</f>
        <v>24.5176</v>
      </c>
      <c r="G45" s="11" t="n">
        <v>494</v>
      </c>
    </row>
    <row r="46" customFormat="false" ht="15" hidden="false" customHeight="false" outlineLevel="0" collapsed="false">
      <c r="A46" s="10" t="n">
        <v>10.3219335079193</v>
      </c>
      <c r="B46" s="11" t="n">
        <v>0</v>
      </c>
      <c r="C46" s="12" t="n">
        <f aca="false">B46*'Correction factors'!$B$7</f>
        <v>0</v>
      </c>
      <c r="D46" s="13" t="n">
        <v>1.991981</v>
      </c>
      <c r="E46" s="14" t="n">
        <v>360</v>
      </c>
      <c r="F46" s="10" t="n">
        <f aca="false">E46/'Correction factors'!$B$10</f>
        <v>29.034</v>
      </c>
      <c r="G46" s="11" t="n">
        <v>502</v>
      </c>
    </row>
    <row r="47" customFormat="false" ht="15" hidden="false" customHeight="false" outlineLevel="0" collapsed="false">
      <c r="A47" s="10" t="n">
        <v>10.8469345569611</v>
      </c>
      <c r="B47" s="11" t="n">
        <v>0</v>
      </c>
      <c r="C47" s="12" t="n">
        <f aca="false">B47*'Correction factors'!$B$7</f>
        <v>0</v>
      </c>
      <c r="D47" s="13" t="n">
        <v>2.100019</v>
      </c>
      <c r="E47" s="14" t="n">
        <v>408</v>
      </c>
      <c r="F47" s="10" t="n">
        <f aca="false">E47/'Correction factors'!$B$10</f>
        <v>32.9052</v>
      </c>
      <c r="G47" s="11" t="n">
        <v>509</v>
      </c>
    </row>
    <row r="48" customFormat="false" ht="15" hidden="false" customHeight="false" outlineLevel="0" collapsed="false">
      <c r="A48" s="10" t="n">
        <v>10.8469345569611</v>
      </c>
      <c r="B48" s="11" t="n">
        <v>0</v>
      </c>
      <c r="C48" s="12" t="n">
        <f aca="false">B48*'Correction factors'!$B$7</f>
        <v>0</v>
      </c>
      <c r="D48" s="13" t="n">
        <v>2.208056</v>
      </c>
      <c r="E48" s="14" t="n">
        <v>440</v>
      </c>
      <c r="F48" s="10" t="n">
        <f aca="false">E48/'Correction factors'!$B$10</f>
        <v>35.486</v>
      </c>
      <c r="G48" s="11" t="n">
        <v>509</v>
      </c>
    </row>
    <row r="49" customFormat="false" ht="15" hidden="false" customHeight="false" outlineLevel="0" collapsed="false">
      <c r="A49" s="10" t="n">
        <v>11.2930266857147</v>
      </c>
      <c r="B49" s="11" t="n">
        <v>280</v>
      </c>
      <c r="C49" s="12" t="n">
        <f aca="false">B49*'Correction factors'!$B$7</f>
        <v>1354.92</v>
      </c>
      <c r="D49" s="13" t="n">
        <v>2.296451</v>
      </c>
      <c r="E49" s="14" t="n">
        <v>472</v>
      </c>
      <c r="F49" s="10" t="n">
        <f aca="false">E49/'Correction factors'!$B$10</f>
        <v>38.0668</v>
      </c>
      <c r="G49" s="11" t="n">
        <v>509</v>
      </c>
    </row>
    <row r="50" customFormat="false" ht="15" hidden="false" customHeight="false" outlineLevel="0" collapsed="false">
      <c r="A50" s="10" t="n">
        <v>11.2930266857147</v>
      </c>
      <c r="B50" s="11" t="n">
        <v>500</v>
      </c>
      <c r="C50" s="12" t="n">
        <f aca="false">B50*'Correction factors'!$B$7</f>
        <v>2419.5</v>
      </c>
      <c r="D50" s="13" t="n">
        <v>2.384845</v>
      </c>
      <c r="E50" s="14" t="n">
        <v>488</v>
      </c>
      <c r="F50" s="10" t="n">
        <f aca="false">E50/'Correction factors'!$B$10</f>
        <v>39.3572</v>
      </c>
      <c r="G50" s="11" t="n">
        <v>497</v>
      </c>
    </row>
    <row r="51" customFormat="false" ht="15" hidden="false" customHeight="false" outlineLevel="0" collapsed="false">
      <c r="A51" s="10" t="n">
        <v>11.7781841754913</v>
      </c>
      <c r="B51" s="11" t="n">
        <v>520</v>
      </c>
      <c r="C51" s="12" t="n">
        <f aca="false">B51*'Correction factors'!$B$7</f>
        <v>2516.28</v>
      </c>
      <c r="D51" s="13" t="n">
        <v>2.512526</v>
      </c>
      <c r="E51" s="14" t="n">
        <v>512</v>
      </c>
      <c r="F51" s="10" t="n">
        <f aca="false">E51/'Correction factors'!$B$10</f>
        <v>41.2928</v>
      </c>
      <c r="G51" s="11" t="n">
        <v>436</v>
      </c>
    </row>
    <row r="52" customFormat="false" ht="15" hidden="false" customHeight="false" outlineLevel="0" collapsed="false">
      <c r="A52" s="10" t="n">
        <v>11.7781841754913</v>
      </c>
      <c r="B52" s="11" t="n">
        <v>460</v>
      </c>
      <c r="C52" s="12" t="n">
        <f aca="false">B52*'Correction factors'!$B$7</f>
        <v>2225.94</v>
      </c>
      <c r="D52" s="13" t="n">
        <v>2.65985</v>
      </c>
      <c r="E52" s="14" t="n">
        <v>440</v>
      </c>
      <c r="F52" s="10" t="n">
        <f aca="false">E52/'Correction factors'!$B$10</f>
        <v>35.486</v>
      </c>
      <c r="G52" s="11" t="n">
        <v>430</v>
      </c>
    </row>
    <row r="53" customFormat="false" ht="15" hidden="false" customHeight="false" outlineLevel="0" collapsed="false">
      <c r="A53" s="10" t="n">
        <v>11.7781841754913</v>
      </c>
      <c r="B53" s="11" t="n">
        <v>480</v>
      </c>
      <c r="C53" s="12" t="n">
        <f aca="false">B53*'Correction factors'!$B$7</f>
        <v>2322.72</v>
      </c>
      <c r="D53" s="13" t="n">
        <v>2.738422</v>
      </c>
      <c r="E53" s="14" t="n">
        <v>416</v>
      </c>
      <c r="F53" s="10" t="n">
        <f aca="false">E53/'Correction factors'!$B$10</f>
        <v>33.5504</v>
      </c>
      <c r="G53" s="11" t="n">
        <v>426</v>
      </c>
    </row>
    <row r="54" customFormat="false" ht="15" hidden="false" customHeight="false" outlineLevel="0" collapsed="false">
      <c r="A54" s="10" t="n">
        <v>12.2725827693939</v>
      </c>
      <c r="B54" s="11" t="n">
        <v>500</v>
      </c>
      <c r="C54" s="12" t="n">
        <f aca="false">B54*'Correction factors'!$B$7</f>
        <v>2419.5</v>
      </c>
      <c r="D54" s="13" t="n">
        <v>2.856282</v>
      </c>
      <c r="E54" s="14" t="n">
        <v>416</v>
      </c>
      <c r="F54" s="10" t="n">
        <f aca="false">E54/'Correction factors'!$B$10</f>
        <v>33.5504</v>
      </c>
      <c r="G54" s="11" t="n">
        <v>417</v>
      </c>
    </row>
    <row r="55" customFormat="false" ht="15" hidden="false" customHeight="false" outlineLevel="0" collapsed="false">
      <c r="A55" s="10" t="n">
        <v>12.2725827693939</v>
      </c>
      <c r="B55" s="11" t="n">
        <v>500</v>
      </c>
      <c r="C55" s="12" t="n">
        <f aca="false">B55*'Correction factors'!$B$7</f>
        <v>2419.5</v>
      </c>
      <c r="D55" s="13" t="n">
        <v>2.944676</v>
      </c>
      <c r="E55" s="14" t="n">
        <v>408</v>
      </c>
      <c r="F55" s="10" t="n">
        <f aca="false">E55/'Correction factors'!$B$10</f>
        <v>32.9052</v>
      </c>
      <c r="G55" s="11" t="n">
        <v>410</v>
      </c>
    </row>
    <row r="56" customFormat="false" ht="15" hidden="false" customHeight="false" outlineLevel="0" collapsed="false">
      <c r="A56" s="10" t="n">
        <v>12.7337760925293</v>
      </c>
      <c r="B56" s="11" t="n">
        <v>500</v>
      </c>
      <c r="C56" s="12" t="n">
        <f aca="false">B56*'Correction factors'!$B$7</f>
        <v>2419.5</v>
      </c>
      <c r="D56" s="13" t="n">
        <v>3.092</v>
      </c>
      <c r="E56" s="14" t="n">
        <v>392</v>
      </c>
      <c r="F56" s="10" t="n">
        <f aca="false">E56/'Correction factors'!$B$10</f>
        <v>31.6148</v>
      </c>
      <c r="G56" s="11" t="n">
        <v>395</v>
      </c>
    </row>
    <row r="57" customFormat="false" ht="15" hidden="false" customHeight="false" outlineLevel="0" collapsed="false">
      <c r="A57" s="10" t="n">
        <v>12.7337760925293</v>
      </c>
      <c r="B57" s="11" t="n">
        <v>460</v>
      </c>
      <c r="C57" s="12" t="n">
        <f aca="false">B57*'Correction factors'!$B$7</f>
        <v>2225.94</v>
      </c>
      <c r="D57" s="13" t="n">
        <v>3.200037</v>
      </c>
      <c r="E57" s="14" t="n">
        <v>336</v>
      </c>
      <c r="F57" s="10" t="n">
        <f aca="false">E57/'Correction factors'!$B$10</f>
        <v>27.0984</v>
      </c>
      <c r="G57" s="11" t="n">
        <v>393</v>
      </c>
    </row>
    <row r="58" customFormat="false" ht="15" hidden="false" customHeight="false" outlineLevel="0" collapsed="false">
      <c r="A58" s="10" t="n">
        <v>13.1839566230774</v>
      </c>
      <c r="B58" s="11" t="n">
        <v>480</v>
      </c>
      <c r="C58" s="12" t="n">
        <f aca="false">B58*'Correction factors'!$B$7</f>
        <v>2322.72</v>
      </c>
      <c r="D58" s="13" t="n">
        <v>3.33754</v>
      </c>
      <c r="E58" s="14" t="n">
        <v>336</v>
      </c>
      <c r="F58" s="10" t="n">
        <f aca="false">E58/'Correction factors'!$B$10</f>
        <v>27.0984</v>
      </c>
      <c r="G58" s="11" t="n">
        <v>387</v>
      </c>
    </row>
    <row r="59" customFormat="false" ht="15" hidden="false" customHeight="false" outlineLevel="0" collapsed="false">
      <c r="A59" s="10" t="n">
        <v>13.1839566230774</v>
      </c>
      <c r="B59" s="11" t="n">
        <v>480</v>
      </c>
      <c r="C59" s="12" t="n">
        <f aca="false">B59*'Correction factors'!$B$7</f>
        <v>2322.72</v>
      </c>
      <c r="D59" s="13" t="n">
        <v>3.416112</v>
      </c>
      <c r="E59" s="14" t="n">
        <v>320</v>
      </c>
      <c r="F59" s="10" t="n">
        <f aca="false">E59/'Correction factors'!$B$10</f>
        <v>25.808</v>
      </c>
      <c r="G59" s="11" t="n">
        <v>380</v>
      </c>
    </row>
    <row r="60" customFormat="false" ht="15" hidden="false" customHeight="false" outlineLevel="0" collapsed="false">
      <c r="A60" s="10" t="n">
        <v>13.6514582633972</v>
      </c>
      <c r="B60" s="11" t="n">
        <v>500</v>
      </c>
      <c r="C60" s="12" t="n">
        <f aca="false">B60*'Correction factors'!$B$7</f>
        <v>2419.5</v>
      </c>
      <c r="D60" s="13" t="n">
        <v>3.573258</v>
      </c>
      <c r="E60" s="14" t="n">
        <v>312</v>
      </c>
      <c r="F60" s="10" t="n">
        <f aca="false">E60/'Correction factors'!$B$10</f>
        <v>25.1628</v>
      </c>
      <c r="G60" s="11" t="n">
        <v>367</v>
      </c>
    </row>
    <row r="61" customFormat="false" ht="15" hidden="false" customHeight="false" outlineLevel="0" collapsed="false">
      <c r="A61" s="10" t="n">
        <v>13.6514582633972</v>
      </c>
      <c r="B61" s="11" t="n">
        <v>400</v>
      </c>
      <c r="C61" s="12" t="n">
        <f aca="false">B61*'Correction factors'!$B$7</f>
        <v>1935.6</v>
      </c>
      <c r="D61" s="13" t="n">
        <v>3.750047</v>
      </c>
      <c r="E61" s="14" t="n">
        <v>256</v>
      </c>
      <c r="F61" s="10" t="n">
        <f aca="false">E61/'Correction factors'!$B$10</f>
        <v>20.6464</v>
      </c>
      <c r="G61" s="11" t="n">
        <v>362</v>
      </c>
    </row>
    <row r="62" customFormat="false" ht="15" hidden="false" customHeight="false" outlineLevel="0" collapsed="false">
      <c r="A62" s="10" t="n">
        <v>13.6514582633972</v>
      </c>
      <c r="B62" s="11" t="n">
        <v>380</v>
      </c>
      <c r="C62" s="12" t="n">
        <f aca="false">B62*'Correction factors'!$B$7</f>
        <v>1838.82</v>
      </c>
      <c r="D62" s="13" t="n">
        <v>3.897371</v>
      </c>
      <c r="E62" s="14" t="n">
        <v>224</v>
      </c>
      <c r="F62" s="10" t="n">
        <f aca="false">E62/'Correction factors'!$B$10</f>
        <v>18.0656</v>
      </c>
      <c r="G62" s="11" t="n">
        <v>363</v>
      </c>
    </row>
    <row r="63" customFormat="false" ht="15" hidden="false" customHeight="false" outlineLevel="0" collapsed="false">
      <c r="A63" s="10" t="n">
        <v>14.1680035591126</v>
      </c>
      <c r="B63" s="11" t="n">
        <v>380</v>
      </c>
      <c r="C63" s="12" t="n">
        <f aca="false">B63*'Correction factors'!$B$7</f>
        <v>1838.82</v>
      </c>
      <c r="D63" s="13" t="n">
        <v>4.034873</v>
      </c>
      <c r="E63" s="14" t="n">
        <v>208</v>
      </c>
      <c r="F63" s="10" t="n">
        <f aca="false">E63/'Correction factors'!$B$10</f>
        <v>16.7752</v>
      </c>
      <c r="G63" s="11" t="n">
        <v>364</v>
      </c>
    </row>
    <row r="64" customFormat="false" ht="15" hidden="false" customHeight="false" outlineLevel="0" collapsed="false">
      <c r="A64" s="10" t="n">
        <v>14.1680035591126</v>
      </c>
      <c r="B64" s="11" t="n">
        <v>380</v>
      </c>
      <c r="C64" s="12" t="n">
        <f aca="false">B64*'Correction factors'!$B$7</f>
        <v>1838.82</v>
      </c>
      <c r="D64" s="13" t="n">
        <v>4.172375</v>
      </c>
      <c r="E64" s="14" t="n">
        <v>200</v>
      </c>
      <c r="F64" s="10" t="n">
        <f aca="false">E64/'Correction factors'!$B$10</f>
        <v>16.13</v>
      </c>
      <c r="G64" s="11" t="n">
        <v>362</v>
      </c>
    </row>
    <row r="65" customFormat="false" ht="15" hidden="false" customHeight="false" outlineLevel="0" collapsed="false">
      <c r="A65" s="10" t="n">
        <v>14.6345407962799</v>
      </c>
      <c r="B65" s="11" t="n">
        <v>380</v>
      </c>
      <c r="C65" s="12" t="n">
        <f aca="false">B65*'Correction factors'!$B$7</f>
        <v>1838.82</v>
      </c>
      <c r="D65" s="13" t="n">
        <v>4.319699</v>
      </c>
      <c r="E65" s="14" t="n">
        <v>200</v>
      </c>
      <c r="F65" s="10" t="n">
        <f aca="false">E65/'Correction factors'!$B$10</f>
        <v>16.13</v>
      </c>
      <c r="G65" s="11" t="n">
        <v>355</v>
      </c>
    </row>
    <row r="66" customFormat="false" ht="15" hidden="false" customHeight="false" outlineLevel="0" collapsed="false">
      <c r="A66" s="10" t="n">
        <v>14.6345407962799</v>
      </c>
      <c r="B66" s="11" t="n">
        <v>320</v>
      </c>
      <c r="C66" s="12" t="n">
        <f aca="false">B66*'Correction factors'!$B$7</f>
        <v>1548.48</v>
      </c>
      <c r="D66" s="13" t="n">
        <v>4.457201</v>
      </c>
      <c r="E66" s="14" t="n">
        <v>168</v>
      </c>
      <c r="F66" s="10" t="n">
        <f aca="false">E66/'Correction factors'!$B$10</f>
        <v>13.5492</v>
      </c>
      <c r="G66" s="11" t="n">
        <v>352</v>
      </c>
    </row>
    <row r="67" customFormat="false" ht="15" hidden="false" customHeight="false" outlineLevel="0" collapsed="false">
      <c r="A67" s="10" t="n">
        <v>15.1020429134369</v>
      </c>
      <c r="B67" s="11" t="n">
        <v>320</v>
      </c>
      <c r="C67" s="12" t="n">
        <f aca="false">B67*'Correction factors'!$B$7</f>
        <v>1548.48</v>
      </c>
      <c r="D67" s="13" t="n">
        <v>4.575061</v>
      </c>
      <c r="E67" s="14" t="n">
        <v>160</v>
      </c>
      <c r="F67" s="10" t="n">
        <f aca="false">E67/'Correction factors'!$B$10</f>
        <v>12.904</v>
      </c>
      <c r="G67" s="11" t="n">
        <v>354</v>
      </c>
    </row>
    <row r="68" customFormat="false" ht="15" hidden="false" customHeight="false" outlineLevel="0" collapsed="false">
      <c r="A68" s="10" t="n">
        <v>15.1020429134369</v>
      </c>
      <c r="B68" s="11" t="n">
        <v>340</v>
      </c>
      <c r="C68" s="12" t="n">
        <f aca="false">B68*'Correction factors'!$B$7</f>
        <v>1645.26</v>
      </c>
      <c r="D68" s="13" t="n">
        <v>4.683098</v>
      </c>
      <c r="E68" s="14" t="n">
        <v>168</v>
      </c>
      <c r="F68" s="10" t="n">
        <f aca="false">E68/'Correction factors'!$B$10</f>
        <v>13.5492</v>
      </c>
      <c r="G68" s="11" t="n">
        <v>354</v>
      </c>
    </row>
    <row r="69" customFormat="false" ht="15" hidden="false" customHeight="false" outlineLevel="0" collapsed="false">
      <c r="A69" s="10" t="n">
        <v>15.1020429134369</v>
      </c>
      <c r="B69" s="11" t="n">
        <v>340</v>
      </c>
      <c r="C69" s="12" t="n">
        <f aca="false">B69*'Correction factors'!$B$7</f>
        <v>1645.26</v>
      </c>
      <c r="D69" s="13" t="n">
        <v>4.791136</v>
      </c>
      <c r="E69" s="14" t="n">
        <v>160</v>
      </c>
      <c r="F69" s="10" t="n">
        <f aca="false">E69/'Correction factors'!$B$10</f>
        <v>12.904</v>
      </c>
      <c r="G69" s="11" t="n">
        <v>345</v>
      </c>
    </row>
    <row r="70" customFormat="false" ht="15" hidden="false" customHeight="false" outlineLevel="0" collapsed="false">
      <c r="A70" s="10" t="n">
        <v>15.6323847770691</v>
      </c>
      <c r="B70" s="11" t="n">
        <v>300</v>
      </c>
      <c r="C70" s="12" t="n">
        <f aca="false">B70*'Correction factors'!$B$7</f>
        <v>1451.7</v>
      </c>
      <c r="D70" s="13" t="n">
        <v>4.948281</v>
      </c>
      <c r="E70" s="14" t="n">
        <v>144</v>
      </c>
      <c r="F70" s="10" t="n">
        <f aca="false">E70/'Correction factors'!$B$10</f>
        <v>11.6136</v>
      </c>
      <c r="G70" s="11" t="n">
        <v>342</v>
      </c>
    </row>
    <row r="71" customFormat="false" ht="15" hidden="false" customHeight="false" outlineLevel="0" collapsed="false">
      <c r="A71" s="10" t="n">
        <v>15.6323847770691</v>
      </c>
      <c r="B71" s="11" t="n">
        <v>260</v>
      </c>
      <c r="C71" s="12" t="n">
        <f aca="false">B71*'Correction factors'!$B$7</f>
        <v>1258.14</v>
      </c>
      <c r="D71" s="13" t="n">
        <v>5.075962</v>
      </c>
      <c r="E71" s="14" t="n">
        <v>120</v>
      </c>
      <c r="F71" s="10" t="n">
        <f aca="false">E71/'Correction factors'!$B$10</f>
        <v>9.678</v>
      </c>
      <c r="G71" s="11" t="n">
        <v>342</v>
      </c>
    </row>
    <row r="72" customFormat="false" ht="15" hidden="false" customHeight="false" outlineLevel="0" collapsed="false">
      <c r="A72" s="10" t="n">
        <v>16.1638324260712</v>
      </c>
      <c r="B72" s="11" t="n">
        <v>280</v>
      </c>
      <c r="C72" s="12" t="n">
        <f aca="false">B72*'Correction factors'!$B$7</f>
        <v>1354.92</v>
      </c>
      <c r="D72" s="13" t="n">
        <v>5.193821</v>
      </c>
      <c r="E72" s="14" t="n">
        <v>104</v>
      </c>
      <c r="F72" s="10" t="n">
        <f aca="false">E72/'Correction factors'!$B$10</f>
        <v>8.3876</v>
      </c>
      <c r="G72" s="11" t="n">
        <v>347</v>
      </c>
    </row>
    <row r="73" customFormat="false" ht="15" hidden="false" customHeight="false" outlineLevel="0" collapsed="false">
      <c r="A73" s="10" t="n">
        <v>16.1638324260712</v>
      </c>
      <c r="B73" s="11" t="n">
        <v>300</v>
      </c>
      <c r="C73" s="12" t="n">
        <f aca="false">B73*'Correction factors'!$B$7</f>
        <v>1451.7</v>
      </c>
      <c r="D73" s="13" t="n">
        <v>5.272394</v>
      </c>
      <c r="E73" s="14" t="n">
        <v>120</v>
      </c>
      <c r="F73" s="10" t="n">
        <f aca="false">E73/'Correction factors'!$B$10</f>
        <v>9.678</v>
      </c>
      <c r="G73" s="11" t="n">
        <v>344</v>
      </c>
    </row>
    <row r="74" customFormat="false" ht="15" hidden="false" customHeight="false" outlineLevel="0" collapsed="false">
      <c r="A74" s="10" t="n">
        <v>16.1638324260712</v>
      </c>
      <c r="B74" s="11" t="n">
        <v>300</v>
      </c>
      <c r="C74" s="12" t="n">
        <f aca="false">B74*'Correction factors'!$B$7</f>
        <v>1451.7</v>
      </c>
      <c r="D74" s="13" t="n">
        <v>5.360788</v>
      </c>
      <c r="E74" s="14" t="n">
        <v>120</v>
      </c>
      <c r="F74" s="10" t="n">
        <f aca="false">E74/'Correction factors'!$B$10</f>
        <v>9.678</v>
      </c>
      <c r="G74" s="11" t="n">
        <v>340</v>
      </c>
    </row>
    <row r="75" customFormat="false" ht="15" hidden="false" customHeight="false" outlineLevel="0" collapsed="false">
      <c r="A75" s="10" t="n">
        <v>16.6771759986877</v>
      </c>
      <c r="B75" s="11" t="n">
        <v>280</v>
      </c>
      <c r="C75" s="12" t="n">
        <f aca="false">B75*'Correction factors'!$B$7</f>
        <v>1354.92</v>
      </c>
      <c r="D75" s="13" t="n">
        <v>5.488469</v>
      </c>
      <c r="E75" s="14" t="n">
        <v>112</v>
      </c>
      <c r="F75" s="10" t="n">
        <f aca="false">E75/'Correction factors'!$B$10</f>
        <v>9.0328</v>
      </c>
      <c r="G75" s="11" t="n">
        <v>335</v>
      </c>
    </row>
    <row r="76" customFormat="false" ht="15" hidden="false" customHeight="false" outlineLevel="0" collapsed="false">
      <c r="A76" s="10" t="n">
        <v>16.6771759986877</v>
      </c>
      <c r="B76" s="11" t="n">
        <v>240</v>
      </c>
      <c r="C76" s="12" t="n">
        <f aca="false">B76*'Correction factors'!$B$7</f>
        <v>1161.36</v>
      </c>
      <c r="D76" s="13" t="n">
        <v>5.586685</v>
      </c>
      <c r="E76" s="14" t="n">
        <v>96</v>
      </c>
      <c r="F76" s="10" t="n">
        <f aca="false">E76/'Correction factors'!$B$10</f>
        <v>7.7424</v>
      </c>
      <c r="G76" s="11" t="n">
        <v>335</v>
      </c>
    </row>
    <row r="77" customFormat="false" ht="15" hidden="false" customHeight="false" outlineLevel="0" collapsed="false">
      <c r="A77" s="10" t="n">
        <v>17.1592118740082</v>
      </c>
      <c r="B77" s="11" t="n">
        <v>240</v>
      </c>
      <c r="C77" s="12" t="n">
        <f aca="false">B77*'Correction factors'!$B$7</f>
        <v>1161.36</v>
      </c>
      <c r="D77" s="13" t="n">
        <v>5.684901</v>
      </c>
      <c r="E77" s="14" t="n">
        <v>88</v>
      </c>
      <c r="F77" s="10" t="n">
        <f aca="false">E77/'Correction factors'!$B$10</f>
        <v>7.0972</v>
      </c>
      <c r="G77" s="11" t="n">
        <v>339</v>
      </c>
    </row>
    <row r="78" customFormat="false" ht="15" hidden="false" customHeight="false" outlineLevel="0" collapsed="false">
      <c r="A78" s="10" t="n">
        <v>17.1592118740082</v>
      </c>
      <c r="B78" s="11" t="n">
        <v>240</v>
      </c>
      <c r="C78" s="12" t="n">
        <f aca="false">B78*'Correction factors'!$B$7</f>
        <v>1161.36</v>
      </c>
      <c r="D78" s="13" t="n">
        <v>5.74383</v>
      </c>
      <c r="E78" s="14" t="n">
        <v>88</v>
      </c>
      <c r="F78" s="10" t="n">
        <f aca="false">E78/'Correction factors'!$B$10</f>
        <v>7.0972</v>
      </c>
      <c r="G78" s="11" t="n">
        <v>339</v>
      </c>
    </row>
    <row r="79" customFormat="false" ht="15" hidden="false" customHeight="false" outlineLevel="0" collapsed="false">
      <c r="A79" s="10" t="n">
        <v>17.6374435424805</v>
      </c>
      <c r="B79" s="11" t="n">
        <v>260</v>
      </c>
      <c r="C79" s="12" t="n">
        <f aca="false">B79*'Correction factors'!$B$7</f>
        <v>1258.14</v>
      </c>
      <c r="D79" s="13" t="n">
        <v>5.822403</v>
      </c>
      <c r="E79" s="14" t="n">
        <v>88</v>
      </c>
      <c r="F79" s="10" t="n">
        <f aca="false">E79/'Correction factors'!$B$10</f>
        <v>7.0972</v>
      </c>
      <c r="G79" s="11" t="n">
        <v>339</v>
      </c>
    </row>
    <row r="80" customFormat="false" ht="15" hidden="false" customHeight="false" outlineLevel="0" collapsed="false">
      <c r="A80" s="10" t="n">
        <v>17.6374435424805</v>
      </c>
      <c r="B80" s="11" t="n">
        <v>260</v>
      </c>
      <c r="C80" s="12" t="n">
        <f aca="false">B80*'Correction factors'!$B$7</f>
        <v>1258.14</v>
      </c>
      <c r="D80" s="13" t="n">
        <v>5.881333</v>
      </c>
      <c r="E80" s="14" t="n">
        <v>96</v>
      </c>
      <c r="F80" s="10" t="n">
        <f aca="false">E80/'Correction factors'!$B$10</f>
        <v>7.7424</v>
      </c>
      <c r="G80" s="11" t="n">
        <v>336</v>
      </c>
    </row>
    <row r="81" customFormat="false" ht="15" hidden="false" customHeight="false" outlineLevel="0" collapsed="false">
      <c r="A81" s="10" t="n">
        <v>17.6374435424805</v>
      </c>
      <c r="B81" s="11" t="n">
        <v>280</v>
      </c>
      <c r="C81" s="12" t="n">
        <f aca="false">B81*'Correction factors'!$B$7</f>
        <v>1354.92</v>
      </c>
      <c r="D81" s="13" t="n">
        <v>5.92062</v>
      </c>
      <c r="E81" s="14" t="n">
        <v>88</v>
      </c>
      <c r="F81" s="10" t="n">
        <f aca="false">E81/'Correction factors'!$B$10</f>
        <v>7.0972</v>
      </c>
      <c r="G81" s="11" t="n">
        <v>334</v>
      </c>
    </row>
    <row r="82" customFormat="false" ht="15" hidden="false" customHeight="false" outlineLevel="0" collapsed="false">
      <c r="A82" s="10" t="n">
        <v>18.1563422679901</v>
      </c>
      <c r="B82" s="11" t="n">
        <v>260</v>
      </c>
      <c r="C82" s="12" t="n">
        <f aca="false">B82*'Correction factors'!$B$7</f>
        <v>1258.14</v>
      </c>
      <c r="D82" s="13" t="n">
        <v>6.018835</v>
      </c>
      <c r="E82" s="14" t="n">
        <v>88</v>
      </c>
      <c r="F82" s="10" t="n">
        <f aca="false">E82/'Correction factors'!$B$10</f>
        <v>7.0972</v>
      </c>
      <c r="G82" s="11" t="n">
        <v>331</v>
      </c>
    </row>
    <row r="83" customFormat="false" ht="15" hidden="false" customHeight="false" outlineLevel="0" collapsed="false">
      <c r="A83" s="10" t="n">
        <v>18.1563422679901</v>
      </c>
      <c r="B83" s="11" t="n">
        <v>220</v>
      </c>
      <c r="C83" s="12" t="n">
        <f aca="false">B83*'Correction factors'!$B$7</f>
        <v>1064.58</v>
      </c>
      <c r="D83" s="13" t="n">
        <v>6.058122</v>
      </c>
      <c r="E83" s="14" t="n">
        <v>80</v>
      </c>
      <c r="F83" s="10" t="n">
        <f aca="false">E83/'Correction factors'!$B$10</f>
        <v>6.452</v>
      </c>
      <c r="G83" s="11" t="n">
        <v>331</v>
      </c>
    </row>
    <row r="84" customFormat="false" ht="15" hidden="false" customHeight="false" outlineLevel="0" collapsed="false">
      <c r="A84" s="10" t="n">
        <v>18.6210713386536</v>
      </c>
      <c r="B84" s="11" t="n">
        <v>200</v>
      </c>
      <c r="C84" s="12" t="n">
        <f aca="false">B84*'Correction factors'!$B$7</f>
        <v>967.8</v>
      </c>
      <c r="D84" s="13" t="n">
        <v>6.117051</v>
      </c>
      <c r="E84" s="14" t="n">
        <v>72</v>
      </c>
      <c r="F84" s="10" t="n">
        <f aca="false">E84/'Correction factors'!$B$10</f>
        <v>5.8068</v>
      </c>
      <c r="G84" s="11" t="n">
        <v>334</v>
      </c>
    </row>
    <row r="85" customFormat="false" ht="15" hidden="false" customHeight="false" outlineLevel="0" collapsed="false">
      <c r="A85" s="10" t="n">
        <v>18.6210713386536</v>
      </c>
      <c r="B85" s="11" t="n">
        <v>220</v>
      </c>
      <c r="C85" s="12" t="n">
        <f aca="false">B85*'Correction factors'!$B$7</f>
        <v>1064.58</v>
      </c>
      <c r="D85" s="13" t="n">
        <v>6.166159</v>
      </c>
      <c r="E85" s="14" t="n">
        <v>72</v>
      </c>
      <c r="F85" s="10" t="n">
        <f aca="false">E85/'Correction factors'!$B$10</f>
        <v>5.8068</v>
      </c>
      <c r="G85" s="11" t="n">
        <v>335</v>
      </c>
    </row>
    <row r="86" customFormat="false" ht="15" hidden="false" customHeight="false" outlineLevel="0" collapsed="false">
      <c r="A86" s="10" t="n">
        <v>18.6210713386536</v>
      </c>
      <c r="B86" s="11" t="n">
        <v>220</v>
      </c>
      <c r="C86" s="12" t="n">
        <f aca="false">B86*'Correction factors'!$B$7</f>
        <v>1064.58</v>
      </c>
      <c r="D86" s="13" t="n">
        <v>6.205445</v>
      </c>
      <c r="E86" s="14" t="n">
        <v>72</v>
      </c>
      <c r="F86" s="10" t="n">
        <f aca="false">E86/'Correction factors'!$B$10</f>
        <v>5.8068</v>
      </c>
      <c r="G86" s="11" t="n">
        <v>335</v>
      </c>
    </row>
    <row r="87" customFormat="false" ht="15" hidden="false" customHeight="false" outlineLevel="0" collapsed="false">
      <c r="A87" s="10" t="n">
        <v>19.1646659374237</v>
      </c>
      <c r="B87" s="11" t="n">
        <v>220</v>
      </c>
      <c r="C87" s="12" t="n">
        <f aca="false">B87*'Correction factors'!$B$7</f>
        <v>1064.58</v>
      </c>
      <c r="D87" s="13" t="n">
        <v>6.23491</v>
      </c>
      <c r="E87" s="14" t="n">
        <v>72</v>
      </c>
      <c r="F87" s="10" t="n">
        <f aca="false">E87/'Correction factors'!$B$10</f>
        <v>5.8068</v>
      </c>
      <c r="G87" s="11" t="n">
        <v>335</v>
      </c>
    </row>
    <row r="88" customFormat="false" ht="15" hidden="false" customHeight="false" outlineLevel="0" collapsed="false">
      <c r="A88" s="10" t="n">
        <v>19.1646659374237</v>
      </c>
      <c r="B88" s="11" t="n">
        <v>220</v>
      </c>
      <c r="C88" s="12" t="n">
        <f aca="false">B88*'Correction factors'!$B$7</f>
        <v>1064.58</v>
      </c>
      <c r="D88" s="13" t="n">
        <v>6.244732</v>
      </c>
      <c r="E88" s="14" t="n">
        <v>72</v>
      </c>
      <c r="F88" s="10" t="n">
        <f aca="false">E88/'Correction factors'!$B$10</f>
        <v>5.8068</v>
      </c>
      <c r="G88" s="11" t="n">
        <v>334</v>
      </c>
    </row>
    <row r="89" customFormat="false" ht="15" hidden="false" customHeight="false" outlineLevel="0" collapsed="false">
      <c r="A89" s="10" t="n">
        <v>19.6208794116974</v>
      </c>
      <c r="B89" s="11" t="n">
        <v>220</v>
      </c>
      <c r="C89" s="12" t="n">
        <f aca="false">B89*'Correction factors'!$B$7</f>
        <v>1064.58</v>
      </c>
      <c r="D89" s="13" t="n">
        <v>6.264375</v>
      </c>
      <c r="E89" s="14" t="n">
        <v>80</v>
      </c>
      <c r="F89" s="10" t="n">
        <f aca="false">E89/'Correction factors'!$B$10</f>
        <v>6.452</v>
      </c>
      <c r="G89" s="11" t="n">
        <v>335</v>
      </c>
    </row>
    <row r="90" customFormat="false" ht="15" hidden="false" customHeight="false" outlineLevel="0" collapsed="false">
      <c r="A90" s="10" t="n">
        <v>19.6208794116974</v>
      </c>
      <c r="B90" s="11" t="n">
        <v>240</v>
      </c>
      <c r="C90" s="12" t="n">
        <f aca="false">B90*'Correction factors'!$B$7</f>
        <v>1161.36</v>
      </c>
      <c r="D90" s="13" t="n">
        <v>6.303661</v>
      </c>
      <c r="E90" s="14" t="n">
        <v>72</v>
      </c>
      <c r="F90" s="10" t="n">
        <f aca="false">E90/'Correction factors'!$B$10</f>
        <v>5.8068</v>
      </c>
      <c r="G90" s="11" t="n">
        <v>334</v>
      </c>
    </row>
    <row r="91" customFormat="false" ht="15" hidden="false" customHeight="false" outlineLevel="0" collapsed="false">
      <c r="A91" s="10" t="n">
        <v>20.0940313339233</v>
      </c>
      <c r="B91" s="11" t="n">
        <v>220</v>
      </c>
      <c r="C91" s="12" t="n">
        <f aca="false">B91*'Correction factors'!$B$7</f>
        <v>1064.58</v>
      </c>
      <c r="D91" s="13" t="n">
        <v>6.303661</v>
      </c>
      <c r="E91" s="14" t="n">
        <v>80</v>
      </c>
      <c r="F91" s="10" t="n">
        <f aca="false">E91/'Correction factors'!$B$10</f>
        <v>6.452</v>
      </c>
      <c r="G91" s="11" t="n">
        <v>332</v>
      </c>
    </row>
    <row r="92" customFormat="false" ht="15" hidden="false" customHeight="false" outlineLevel="0" collapsed="false">
      <c r="A92" s="10" t="n">
        <v>20.0940313339233</v>
      </c>
      <c r="B92" s="11" t="n">
        <v>220</v>
      </c>
      <c r="C92" s="12" t="n">
        <f aca="false">B92*'Correction factors'!$B$7</f>
        <v>1064.58</v>
      </c>
      <c r="D92" s="13" t="n">
        <v>6.303661</v>
      </c>
      <c r="E92" s="14" t="n">
        <v>72</v>
      </c>
      <c r="F92" s="10" t="n">
        <f aca="false">E92/'Correction factors'!$B$10</f>
        <v>5.8068</v>
      </c>
      <c r="G92" s="11" t="n">
        <v>332</v>
      </c>
    </row>
    <row r="93" customFormat="false" ht="15" hidden="false" customHeight="false" outlineLevel="0" collapsed="false">
      <c r="A93" s="10" t="n">
        <v>20.0940313339233</v>
      </c>
      <c r="B93" s="11" t="n">
        <v>240</v>
      </c>
      <c r="C93" s="12" t="n">
        <f aca="false">B93*'Correction factors'!$B$7</f>
        <v>1161.36</v>
      </c>
      <c r="D93" s="13" t="n">
        <v>6.303661</v>
      </c>
      <c r="E93" s="14" t="n">
        <v>80</v>
      </c>
      <c r="F93" s="10" t="n">
        <f aca="false">E93/'Correction factors'!$B$10</f>
        <v>6.452</v>
      </c>
      <c r="G93" s="11" t="n">
        <v>333</v>
      </c>
    </row>
    <row r="94" customFormat="false" ht="15" hidden="false" customHeight="false" outlineLevel="0" collapsed="false">
      <c r="A94" s="10" t="n">
        <v>20.6276915073395</v>
      </c>
      <c r="B94" s="11" t="n">
        <v>240</v>
      </c>
      <c r="C94" s="12" t="n">
        <f aca="false">B94*'Correction factors'!$B$7</f>
        <v>1161.36</v>
      </c>
      <c r="D94" s="13" t="n">
        <v>6.313483</v>
      </c>
      <c r="E94" s="14" t="n">
        <v>72</v>
      </c>
      <c r="F94" s="10" t="n">
        <f aca="false">E94/'Correction factors'!$B$10</f>
        <v>5.8068</v>
      </c>
      <c r="G94" s="11" t="n">
        <v>331</v>
      </c>
    </row>
    <row r="95" customFormat="false" ht="15" hidden="false" customHeight="false" outlineLevel="0" collapsed="false">
      <c r="A95" s="10" t="n">
        <v>20.6276915073395</v>
      </c>
      <c r="B95" s="11" t="n">
        <v>200</v>
      </c>
      <c r="C95" s="12" t="n">
        <f aca="false">B95*'Correction factors'!$B$7</f>
        <v>967.8</v>
      </c>
      <c r="D95" s="13" t="n">
        <v>6.313483</v>
      </c>
      <c r="E95" s="14" t="n">
        <v>72</v>
      </c>
      <c r="F95" s="10" t="n">
        <f aca="false">E95/'Correction factors'!$B$10</f>
        <v>5.8068</v>
      </c>
      <c r="G95" s="11" t="n">
        <v>331</v>
      </c>
    </row>
    <row r="96" customFormat="false" ht="15" hidden="false" customHeight="false" outlineLevel="0" collapsed="false">
      <c r="A96" s="10" t="n">
        <v>21.0768156051636</v>
      </c>
      <c r="B96" s="11" t="n">
        <v>200</v>
      </c>
      <c r="C96" s="12" t="n">
        <f aca="false">B96*'Correction factors'!$B$7</f>
        <v>967.8</v>
      </c>
      <c r="D96" s="13" t="n">
        <v>6.313483</v>
      </c>
      <c r="E96" s="14" t="n">
        <v>72</v>
      </c>
      <c r="F96" s="10" t="n">
        <f aca="false">E96/'Correction factors'!$B$10</f>
        <v>5.8068</v>
      </c>
      <c r="G96" s="11" t="n">
        <v>333</v>
      </c>
    </row>
    <row r="97" customFormat="false" ht="15" hidden="false" customHeight="false" outlineLevel="0" collapsed="false">
      <c r="A97" s="10" t="n">
        <v>21.0768156051636</v>
      </c>
      <c r="B97" s="11" t="n">
        <v>200</v>
      </c>
      <c r="C97" s="12" t="n">
        <f aca="false">B97*'Correction factors'!$B$7</f>
        <v>967.8</v>
      </c>
      <c r="D97" s="13" t="n">
        <v>6.313483</v>
      </c>
      <c r="E97" s="14" t="n">
        <v>72</v>
      </c>
      <c r="F97" s="10" t="n">
        <f aca="false">E97/'Correction factors'!$B$10</f>
        <v>5.8068</v>
      </c>
      <c r="G97" s="11" t="n">
        <v>333</v>
      </c>
    </row>
    <row r="98" customFormat="false" ht="15" hidden="false" customHeight="false" outlineLevel="0" collapsed="false">
      <c r="A98" s="10" t="n">
        <v>21.527135848999</v>
      </c>
      <c r="B98" s="11" t="n">
        <v>220</v>
      </c>
      <c r="C98" s="12" t="n">
        <f aca="false">B98*'Correction factors'!$B$7</f>
        <v>1064.58</v>
      </c>
      <c r="D98" s="13" t="n">
        <v>6.323305</v>
      </c>
      <c r="E98" s="14" t="n">
        <v>72</v>
      </c>
      <c r="F98" s="10" t="n">
        <f aca="false">E98/'Correction factors'!$B$10</f>
        <v>5.8068</v>
      </c>
      <c r="G98" s="11" t="n">
        <v>333</v>
      </c>
    </row>
    <row r="99" customFormat="false" ht="15" hidden="false" customHeight="false" outlineLevel="0" collapsed="false">
      <c r="A99" s="10" t="n">
        <v>21.527135848999</v>
      </c>
      <c r="B99" s="11" t="n">
        <v>220</v>
      </c>
      <c r="C99" s="12" t="n">
        <f aca="false">B99*'Correction factors'!$B$7</f>
        <v>1064.58</v>
      </c>
      <c r="D99" s="13" t="n">
        <v>6.293839</v>
      </c>
      <c r="E99" s="14" t="n">
        <v>72</v>
      </c>
      <c r="F99" s="10" t="n">
        <f aca="false">E99/'Correction factors'!$B$10</f>
        <v>5.8068</v>
      </c>
      <c r="G99" s="11" t="n">
        <v>333</v>
      </c>
    </row>
    <row r="100" customFormat="false" ht="15" hidden="false" customHeight="false" outlineLevel="0" collapsed="false">
      <c r="A100" s="10" t="n">
        <v>21.527135848999</v>
      </c>
      <c r="B100" s="11" t="n">
        <v>220</v>
      </c>
      <c r="C100" s="12" t="n">
        <f aca="false">B100*'Correction factors'!$B$7</f>
        <v>1064.58</v>
      </c>
      <c r="D100" s="13" t="n">
        <v>6.293839</v>
      </c>
      <c r="E100" s="14" t="n">
        <v>72</v>
      </c>
      <c r="F100" s="10" t="n">
        <f aca="false">E100/'Correction factors'!$B$10</f>
        <v>5.8068</v>
      </c>
      <c r="G100" s="11" t="n">
        <v>332</v>
      </c>
    </row>
    <row r="101" customFormat="false" ht="15" hidden="false" customHeight="false" outlineLevel="0" collapsed="false">
      <c r="A101" s="10" t="n">
        <v>22.0259056091309</v>
      </c>
      <c r="B101" s="11" t="n">
        <v>220</v>
      </c>
      <c r="C101" s="12" t="n">
        <f aca="false">B101*'Correction factors'!$B$7</f>
        <v>1064.58</v>
      </c>
      <c r="D101" s="13" t="n">
        <v>6.284018</v>
      </c>
      <c r="E101" s="14" t="n">
        <v>72</v>
      </c>
      <c r="F101" s="10" t="n">
        <f aca="false">E101/'Correction factors'!$B$10</f>
        <v>5.8068</v>
      </c>
      <c r="G101" s="11" t="n">
        <v>332</v>
      </c>
    </row>
    <row r="102" customFormat="false" ht="15" hidden="false" customHeight="false" outlineLevel="0" collapsed="false">
      <c r="A102" s="10" t="n">
        <v>22.0259056091309</v>
      </c>
      <c r="B102" s="11" t="n">
        <v>200</v>
      </c>
      <c r="C102" s="12" t="n">
        <f aca="false">B102*'Correction factors'!$B$7</f>
        <v>967.8</v>
      </c>
      <c r="D102" s="13" t="n">
        <v>6.254553</v>
      </c>
      <c r="E102" s="14" t="n">
        <v>72</v>
      </c>
      <c r="F102" s="10" t="n">
        <f aca="false">E102/'Correction factors'!$B$10</f>
        <v>5.8068</v>
      </c>
      <c r="G102" s="11" t="n">
        <v>332</v>
      </c>
    </row>
    <row r="103" customFormat="false" ht="15" hidden="false" customHeight="false" outlineLevel="0" collapsed="false">
      <c r="A103" s="10" t="n">
        <v>22.4740645885468</v>
      </c>
      <c r="B103" s="11" t="n">
        <v>220</v>
      </c>
      <c r="C103" s="12" t="n">
        <f aca="false">B103*'Correction factors'!$B$7</f>
        <v>1064.58</v>
      </c>
      <c r="D103" s="13" t="n">
        <v>6.254553</v>
      </c>
      <c r="E103" s="14" t="n">
        <v>64</v>
      </c>
      <c r="F103" s="10" t="n">
        <f aca="false">E103/'Correction factors'!$B$10</f>
        <v>5.1616</v>
      </c>
      <c r="G103" s="11" t="n">
        <v>333</v>
      </c>
    </row>
    <row r="104" customFormat="false" ht="15" hidden="false" customHeight="false" outlineLevel="0" collapsed="false">
      <c r="A104" s="10" t="n">
        <v>22.4740645885468</v>
      </c>
      <c r="B104" s="11" t="n">
        <v>220</v>
      </c>
      <c r="C104" s="12" t="n">
        <f aca="false">B104*'Correction factors'!$B$7</f>
        <v>1064.58</v>
      </c>
      <c r="D104" s="13" t="n">
        <v>6.244732</v>
      </c>
      <c r="E104" s="14" t="n">
        <v>72</v>
      </c>
      <c r="F104" s="10" t="n">
        <f aca="false">E104/'Correction factors'!$B$10</f>
        <v>5.8068</v>
      </c>
      <c r="G104" s="11" t="n">
        <v>332</v>
      </c>
    </row>
    <row r="105" customFormat="false" ht="15" hidden="false" customHeight="false" outlineLevel="0" collapsed="false">
      <c r="A105" s="10" t="n">
        <v>22.9259247779846</v>
      </c>
      <c r="B105" s="11" t="n">
        <v>220</v>
      </c>
      <c r="C105" s="12" t="n">
        <f aca="false">B105*'Correction factors'!$B$7</f>
        <v>1064.58</v>
      </c>
      <c r="D105" s="13" t="n">
        <v>6.23491</v>
      </c>
      <c r="E105" s="14" t="n">
        <v>72</v>
      </c>
      <c r="F105" s="10" t="n">
        <f aca="false">E105/'Correction factors'!$B$10</f>
        <v>5.8068</v>
      </c>
      <c r="G105" s="11" t="n">
        <v>332</v>
      </c>
    </row>
    <row r="106" customFormat="false" ht="15" hidden="false" customHeight="false" outlineLevel="0" collapsed="false">
      <c r="A106" s="10" t="n">
        <v>22.9259247779846</v>
      </c>
      <c r="B106" s="11" t="n">
        <v>200</v>
      </c>
      <c r="C106" s="12" t="n">
        <f aca="false">B106*'Correction factors'!$B$7</f>
        <v>967.8</v>
      </c>
      <c r="D106" s="13" t="n">
        <v>6.215267</v>
      </c>
      <c r="E106" s="14" t="n">
        <v>72</v>
      </c>
      <c r="F106" s="10" t="n">
        <f aca="false">E106/'Correction factors'!$B$10</f>
        <v>5.8068</v>
      </c>
      <c r="G106" s="11" t="n">
        <v>332</v>
      </c>
    </row>
    <row r="107" customFormat="false" ht="15" hidden="false" customHeight="false" outlineLevel="0" collapsed="false">
      <c r="A107" s="10" t="n">
        <v>23.3414742946625</v>
      </c>
      <c r="B107" s="11" t="n">
        <v>200</v>
      </c>
      <c r="C107" s="12" t="n">
        <f aca="false">B107*'Correction factors'!$B$7</f>
        <v>967.8</v>
      </c>
      <c r="D107" s="13" t="n">
        <v>6.215267</v>
      </c>
      <c r="E107" s="14" t="n">
        <v>72</v>
      </c>
      <c r="F107" s="10" t="n">
        <f aca="false">E107/'Correction factors'!$B$10</f>
        <v>5.8068</v>
      </c>
      <c r="G107" s="11" t="n">
        <v>333</v>
      </c>
    </row>
    <row r="108" customFormat="false" ht="15" hidden="false" customHeight="false" outlineLevel="0" collapsed="false">
      <c r="A108" s="10" t="n">
        <v>23.3414742946625</v>
      </c>
      <c r="B108" s="11" t="n">
        <v>200</v>
      </c>
      <c r="C108" s="12" t="n">
        <f aca="false">B108*'Correction factors'!$B$7</f>
        <v>967.8</v>
      </c>
      <c r="D108" s="13" t="n">
        <v>6.185802</v>
      </c>
      <c r="E108" s="14" t="n">
        <v>72</v>
      </c>
      <c r="F108" s="10" t="n">
        <f aca="false">E108/'Correction factors'!$B$10</f>
        <v>5.8068</v>
      </c>
      <c r="G108" s="11" t="n">
        <v>333</v>
      </c>
    </row>
    <row r="109" customFormat="false" ht="15" hidden="false" customHeight="false" outlineLevel="0" collapsed="false">
      <c r="A109" s="10" t="n">
        <v>23.7605786323547</v>
      </c>
      <c r="B109" s="11" t="n">
        <v>200</v>
      </c>
      <c r="C109" s="12" t="n">
        <f aca="false">B109*'Correction factors'!$B$7</f>
        <v>967.8</v>
      </c>
      <c r="D109" s="13" t="n">
        <v>6.166159</v>
      </c>
      <c r="E109" s="14" t="n">
        <v>72</v>
      </c>
      <c r="F109" s="10" t="n">
        <f aca="false">E109/'Correction factors'!$B$10</f>
        <v>5.8068</v>
      </c>
      <c r="G109" s="11" t="n">
        <v>333</v>
      </c>
    </row>
    <row r="110" customFormat="false" ht="15" hidden="false" customHeight="false" outlineLevel="0" collapsed="false">
      <c r="A110" s="10" t="n">
        <v>23.7605786323547</v>
      </c>
      <c r="B110" s="11" t="n">
        <v>220</v>
      </c>
      <c r="C110" s="12" t="n">
        <f aca="false">B110*'Correction factors'!$B$7</f>
        <v>1064.58</v>
      </c>
      <c r="D110" s="13" t="n">
        <v>6.156337</v>
      </c>
      <c r="E110" s="14" t="n">
        <v>64</v>
      </c>
      <c r="F110" s="10" t="n">
        <f aca="false">E110/'Correction factors'!$B$10</f>
        <v>5.1616</v>
      </c>
      <c r="G110" s="11" t="n">
        <v>333</v>
      </c>
    </row>
    <row r="111" customFormat="false" ht="15" hidden="false" customHeight="false" outlineLevel="0" collapsed="false">
      <c r="A111" s="10" t="n">
        <v>24.1917695999146</v>
      </c>
      <c r="B111" s="11" t="n">
        <v>220</v>
      </c>
      <c r="C111" s="12" t="n">
        <f aca="false">B111*'Correction factors'!$B$7</f>
        <v>1064.58</v>
      </c>
      <c r="D111" s="13" t="n">
        <v>6.146516</v>
      </c>
      <c r="E111" s="14" t="n">
        <v>72</v>
      </c>
      <c r="F111" s="10" t="n">
        <f aca="false">E111/'Correction factors'!$B$10</f>
        <v>5.8068</v>
      </c>
      <c r="G111" s="11" t="n">
        <v>332</v>
      </c>
    </row>
    <row r="112" customFormat="false" ht="15" hidden="false" customHeight="false" outlineLevel="0" collapsed="false">
      <c r="A112" s="10" t="n">
        <v>24.1917695999146</v>
      </c>
      <c r="B112" s="11" t="n">
        <v>220</v>
      </c>
      <c r="C112" s="12" t="n">
        <f aca="false">B112*'Correction factors'!$B$7</f>
        <v>1064.58</v>
      </c>
      <c r="D112" s="13" t="n">
        <v>6.126873</v>
      </c>
      <c r="E112" s="14" t="n">
        <v>72</v>
      </c>
      <c r="F112" s="10" t="n">
        <f aca="false">E112/'Correction factors'!$B$10</f>
        <v>5.8068</v>
      </c>
      <c r="G112" s="11" t="n">
        <v>332</v>
      </c>
    </row>
    <row r="113" customFormat="false" ht="15" hidden="false" customHeight="false" outlineLevel="0" collapsed="false">
      <c r="A113" s="10" t="n">
        <v>24.6279439926148</v>
      </c>
      <c r="B113" s="11" t="n">
        <v>220</v>
      </c>
      <c r="C113" s="12" t="n">
        <f aca="false">B113*'Correction factors'!$B$7</f>
        <v>1064.58</v>
      </c>
      <c r="D113" s="13" t="n">
        <v>6.10723</v>
      </c>
      <c r="E113" s="14" t="n">
        <v>72</v>
      </c>
      <c r="F113" s="10" t="n">
        <f aca="false">E113/'Correction factors'!$B$10</f>
        <v>5.8068</v>
      </c>
      <c r="G113" s="11" t="n">
        <v>331</v>
      </c>
    </row>
    <row r="114" customFormat="false" ht="15" hidden="false" customHeight="false" outlineLevel="0" collapsed="false">
      <c r="A114" s="10" t="n">
        <v>24.6279439926148</v>
      </c>
      <c r="B114" s="11" t="n">
        <v>220</v>
      </c>
      <c r="C114" s="12" t="n">
        <f aca="false">B114*'Correction factors'!$B$7</f>
        <v>1064.58</v>
      </c>
      <c r="D114" s="13" t="n">
        <v>6.087586</v>
      </c>
      <c r="E114" s="14" t="n">
        <v>64</v>
      </c>
      <c r="F114" s="10" t="n">
        <f aca="false">E114/'Correction factors'!$B$10</f>
        <v>5.1616</v>
      </c>
      <c r="G114" s="11" t="n">
        <v>331</v>
      </c>
    </row>
    <row r="115" customFormat="false" ht="15" hidden="false" customHeight="false" outlineLevel="0" collapsed="false">
      <c r="A115" s="10" t="n">
        <v>24.6279439926148</v>
      </c>
      <c r="B115" s="11" t="n">
        <v>200</v>
      </c>
      <c r="C115" s="12" t="n">
        <f aca="false">B115*'Correction factors'!$B$7</f>
        <v>967.8</v>
      </c>
      <c r="D115" s="13" t="n">
        <v>6.077765</v>
      </c>
      <c r="E115" s="14" t="n">
        <v>72</v>
      </c>
      <c r="F115" s="10" t="n">
        <f aca="false">E115/'Correction factors'!$B$10</f>
        <v>5.8068</v>
      </c>
      <c r="G115" s="11" t="n">
        <v>332</v>
      </c>
    </row>
    <row r="116" customFormat="false" ht="15" hidden="false" customHeight="false" outlineLevel="0" collapsed="false">
      <c r="A116" s="10" t="n">
        <v>25.106166601181</v>
      </c>
      <c r="B116" s="11" t="n">
        <v>200</v>
      </c>
      <c r="C116" s="12" t="n">
        <f aca="false">B116*'Correction factors'!$B$7</f>
        <v>967.8</v>
      </c>
      <c r="D116" s="13" t="n">
        <v>6.058122</v>
      </c>
      <c r="E116" s="14" t="n">
        <v>72</v>
      </c>
      <c r="F116" s="10" t="n">
        <f aca="false">E116/'Correction factors'!$B$10</f>
        <v>5.8068</v>
      </c>
      <c r="G116" s="11" t="n">
        <v>333</v>
      </c>
    </row>
    <row r="117" customFormat="false" ht="15" hidden="false" customHeight="false" outlineLevel="0" collapsed="false">
      <c r="A117" s="10" t="n">
        <v>25.106166601181</v>
      </c>
      <c r="B117" s="11" t="n">
        <v>200</v>
      </c>
      <c r="C117" s="12" t="n">
        <f aca="false">B117*'Correction factors'!$B$7</f>
        <v>967.8</v>
      </c>
      <c r="D117" s="13" t="n">
        <v>6.0483</v>
      </c>
      <c r="E117" s="14" t="n">
        <v>64</v>
      </c>
      <c r="F117" s="10" t="n">
        <f aca="false">E117/'Correction factors'!$B$10</f>
        <v>5.1616</v>
      </c>
      <c r="G117" s="11" t="n">
        <v>333</v>
      </c>
    </row>
    <row r="118" customFormat="false" ht="15" hidden="false" customHeight="false" outlineLevel="0" collapsed="false">
      <c r="A118" s="10" t="n">
        <v>25.5827896595001</v>
      </c>
      <c r="B118" s="11" t="n">
        <v>200</v>
      </c>
      <c r="C118" s="12" t="n">
        <f aca="false">B118*'Correction factors'!$B$7</f>
        <v>967.8</v>
      </c>
      <c r="D118" s="13" t="n">
        <v>6.028656</v>
      </c>
      <c r="E118" s="14" t="n">
        <v>72</v>
      </c>
      <c r="F118" s="10" t="n">
        <f aca="false">E118/'Correction factors'!$B$10</f>
        <v>5.8068</v>
      </c>
      <c r="G118" s="11" t="n">
        <v>333</v>
      </c>
    </row>
    <row r="119" customFormat="false" ht="15" hidden="false" customHeight="false" outlineLevel="0" collapsed="false">
      <c r="A119" s="10" t="n">
        <v>25.5827896595001</v>
      </c>
      <c r="B119" s="11" t="n">
        <v>180</v>
      </c>
      <c r="C119" s="12" t="n">
        <f aca="false">B119*'Correction factors'!$B$7</f>
        <v>871.02</v>
      </c>
      <c r="D119" s="13" t="n">
        <v>6.009014</v>
      </c>
      <c r="E119" s="14" t="n">
        <v>64</v>
      </c>
      <c r="F119" s="10" t="n">
        <f aca="false">E119/'Correction factors'!$B$10</f>
        <v>5.1616</v>
      </c>
      <c r="G119" s="11" t="n">
        <v>333</v>
      </c>
    </row>
    <row r="120" customFormat="false" ht="15" hidden="false" customHeight="false" outlineLevel="0" collapsed="false">
      <c r="A120" s="10" t="n">
        <v>26.0207800865173</v>
      </c>
      <c r="B120" s="11" t="n">
        <v>180</v>
      </c>
      <c r="C120" s="12" t="n">
        <f aca="false">B120*'Correction factors'!$B$7</f>
        <v>871.02</v>
      </c>
      <c r="D120" s="13" t="n">
        <v>5.999192</v>
      </c>
      <c r="E120" s="14" t="n">
        <v>72</v>
      </c>
      <c r="F120" s="10" t="n">
        <f aca="false">E120/'Correction factors'!$B$10</f>
        <v>5.8068</v>
      </c>
      <c r="G120" s="11" t="n">
        <v>335</v>
      </c>
    </row>
    <row r="121" customFormat="false" ht="15" hidden="false" customHeight="false" outlineLevel="0" collapsed="false">
      <c r="A121" s="10" t="n">
        <v>26.0207800865173</v>
      </c>
      <c r="B121" s="11" t="n">
        <v>200</v>
      </c>
      <c r="C121" s="12" t="n">
        <f aca="false">B121*'Correction factors'!$B$7</f>
        <v>967.8</v>
      </c>
      <c r="D121" s="13" t="n">
        <v>5.979549</v>
      </c>
      <c r="E121" s="14" t="n">
        <v>72</v>
      </c>
      <c r="F121" s="10" t="n">
        <f aca="false">E121/'Correction factors'!$B$10</f>
        <v>5.8068</v>
      </c>
      <c r="G121" s="11" t="n">
        <v>335</v>
      </c>
    </row>
    <row r="122" customFormat="false" ht="15" hidden="false" customHeight="false" outlineLevel="0" collapsed="false">
      <c r="A122" s="10" t="n">
        <v>26.4633078575134</v>
      </c>
      <c r="B122" s="11" t="n">
        <v>200</v>
      </c>
      <c r="C122" s="12" t="n">
        <f aca="false">B122*'Correction factors'!$B$7</f>
        <v>967.8</v>
      </c>
      <c r="D122" s="13" t="n">
        <v>5.959905</v>
      </c>
      <c r="E122" s="14" t="n">
        <v>72</v>
      </c>
      <c r="F122" s="10" t="n">
        <f aca="false">E122/'Correction factors'!$B$10</f>
        <v>5.8068</v>
      </c>
      <c r="G122" s="11" t="n">
        <v>335</v>
      </c>
    </row>
    <row r="123" customFormat="false" ht="15" hidden="false" customHeight="false" outlineLevel="0" collapsed="false">
      <c r="A123" s="10" t="n">
        <v>26.4633078575134</v>
      </c>
      <c r="B123" s="11" t="n">
        <v>200</v>
      </c>
      <c r="C123" s="12" t="n">
        <f aca="false">B123*'Correction factors'!$B$7</f>
        <v>967.8</v>
      </c>
      <c r="D123" s="13" t="n">
        <v>5.930441</v>
      </c>
      <c r="E123" s="14" t="n">
        <v>72</v>
      </c>
      <c r="F123" s="10" t="n">
        <f aca="false">E123/'Correction factors'!$B$10</f>
        <v>5.8068</v>
      </c>
      <c r="G123" s="11" t="n">
        <v>335</v>
      </c>
    </row>
    <row r="124" customFormat="false" ht="15" hidden="false" customHeight="false" outlineLevel="0" collapsed="false">
      <c r="A124" s="10" t="n">
        <v>26.9051523208618</v>
      </c>
      <c r="B124" s="11" t="n">
        <v>180</v>
      </c>
      <c r="C124" s="12" t="n">
        <f aca="false">B124*'Correction factors'!$B$7</f>
        <v>871.02</v>
      </c>
      <c r="D124" s="13" t="n">
        <v>5.92062</v>
      </c>
      <c r="E124" s="14" t="n">
        <v>64</v>
      </c>
      <c r="F124" s="10" t="n">
        <f aca="false">E124/'Correction factors'!$B$10</f>
        <v>5.1616</v>
      </c>
      <c r="G124" s="11" t="n">
        <v>335</v>
      </c>
    </row>
    <row r="125" customFormat="false" ht="15" hidden="false" customHeight="false" outlineLevel="0" collapsed="false">
      <c r="A125" s="10" t="n">
        <v>26.9051523208618</v>
      </c>
      <c r="B125" s="11" t="n">
        <v>180</v>
      </c>
      <c r="C125" s="12" t="n">
        <f aca="false">B125*'Correction factors'!$B$7</f>
        <v>871.02</v>
      </c>
      <c r="D125" s="13" t="n">
        <v>5.900976</v>
      </c>
      <c r="E125" s="14" t="n">
        <v>72</v>
      </c>
      <c r="F125" s="10" t="n">
        <f aca="false">E125/'Correction factors'!$B$10</f>
        <v>5.8068</v>
      </c>
      <c r="G125" s="11" t="n">
        <v>336</v>
      </c>
    </row>
    <row r="126" customFormat="false" ht="15" hidden="false" customHeight="false" outlineLevel="0" collapsed="false">
      <c r="A126" s="10" t="n">
        <v>26.9051523208618</v>
      </c>
      <c r="B126" s="11" t="n">
        <v>180</v>
      </c>
      <c r="C126" s="12" t="n">
        <f aca="false">B126*'Correction factors'!$B$7</f>
        <v>871.02</v>
      </c>
      <c r="D126" s="13" t="n">
        <v>5.871511</v>
      </c>
      <c r="E126" s="14" t="n">
        <v>72</v>
      </c>
      <c r="F126" s="10" t="n">
        <f aca="false">E126/'Correction factors'!$B$10</f>
        <v>5.8068</v>
      </c>
      <c r="G126" s="11" t="n">
        <v>339</v>
      </c>
    </row>
    <row r="127" customFormat="false" ht="15" hidden="false" customHeight="false" outlineLevel="0" collapsed="false">
      <c r="A127" s="10" t="n">
        <v>27.3850104808807</v>
      </c>
      <c r="B127" s="11" t="n">
        <v>180</v>
      </c>
      <c r="C127" s="12" t="n">
        <f aca="false">B127*'Correction factors'!$B$7</f>
        <v>871.02</v>
      </c>
      <c r="D127" s="13" t="n">
        <v>5.851868</v>
      </c>
      <c r="E127" s="14" t="n">
        <v>72</v>
      </c>
      <c r="F127" s="10" t="n">
        <f aca="false">E127/'Correction factors'!$B$10</f>
        <v>5.8068</v>
      </c>
      <c r="G127" s="11" t="n">
        <v>340</v>
      </c>
    </row>
    <row r="128" customFormat="false" ht="15" hidden="false" customHeight="false" outlineLevel="0" collapsed="false">
      <c r="A128" s="10" t="n">
        <v>27.3850104808807</v>
      </c>
      <c r="B128" s="11" t="n">
        <v>180</v>
      </c>
      <c r="C128" s="12" t="n">
        <f aca="false">B128*'Correction factors'!$B$7</f>
        <v>871.02</v>
      </c>
      <c r="D128" s="13" t="n">
        <v>5.832225</v>
      </c>
      <c r="E128" s="14" t="n">
        <v>72</v>
      </c>
      <c r="F128" s="10" t="n">
        <f aca="false">E128/'Correction factors'!$B$10</f>
        <v>5.8068</v>
      </c>
      <c r="G128" s="11" t="n">
        <v>340</v>
      </c>
    </row>
    <row r="129" customFormat="false" ht="15" hidden="false" customHeight="false" outlineLevel="0" collapsed="false">
      <c r="A129" s="10" t="n">
        <v>27.815899848938</v>
      </c>
      <c r="B129" s="11" t="n">
        <v>180</v>
      </c>
      <c r="C129" s="12" t="n">
        <f aca="false">B129*'Correction factors'!$B$7</f>
        <v>871.02</v>
      </c>
      <c r="D129" s="13" t="n">
        <v>5.822403</v>
      </c>
      <c r="E129" s="14" t="n">
        <v>72</v>
      </c>
      <c r="F129" s="10" t="n">
        <f aca="false">E129/'Correction factors'!$B$10</f>
        <v>5.8068</v>
      </c>
      <c r="G129" s="11" t="n">
        <v>341</v>
      </c>
    </row>
    <row r="130" customFormat="false" ht="15" hidden="false" customHeight="false" outlineLevel="0" collapsed="false">
      <c r="A130" s="10" t="n">
        <v>27.815899848938</v>
      </c>
      <c r="B130" s="11" t="n">
        <v>180</v>
      </c>
      <c r="C130" s="12" t="n">
        <f aca="false">B130*'Correction factors'!$B$7</f>
        <v>871.02</v>
      </c>
      <c r="D130" s="13" t="n">
        <v>5.792939</v>
      </c>
      <c r="E130" s="14" t="n">
        <v>72</v>
      </c>
      <c r="F130" s="10" t="n">
        <f aca="false">E130/'Correction factors'!$B$10</f>
        <v>5.8068</v>
      </c>
      <c r="G130" s="11" t="n">
        <v>342</v>
      </c>
    </row>
    <row r="131" customFormat="false" ht="15" hidden="false" customHeight="false" outlineLevel="0" collapsed="false">
      <c r="A131" s="10" t="n">
        <v>28.2473738193512</v>
      </c>
      <c r="B131" s="11" t="n">
        <v>160</v>
      </c>
      <c r="C131" s="12" t="n">
        <f aca="false">B131*'Correction factors'!$B$7</f>
        <v>774.24</v>
      </c>
      <c r="D131" s="13" t="n">
        <v>5.773295</v>
      </c>
      <c r="E131" s="14" t="n">
        <v>72</v>
      </c>
      <c r="F131" s="10" t="n">
        <f aca="false">E131/'Correction factors'!$B$10</f>
        <v>5.8068</v>
      </c>
      <c r="G131" s="11" t="n">
        <v>343</v>
      </c>
    </row>
    <row r="132" customFormat="false" ht="15" hidden="false" customHeight="false" outlineLevel="0" collapsed="false">
      <c r="A132" s="10" t="n">
        <v>28.2473738193512</v>
      </c>
      <c r="B132" s="11" t="n">
        <v>160</v>
      </c>
      <c r="C132" s="12" t="n">
        <f aca="false">B132*'Correction factors'!$B$7</f>
        <v>774.24</v>
      </c>
      <c r="D132" s="13" t="n">
        <v>5.763474</v>
      </c>
      <c r="E132" s="14" t="n">
        <v>64</v>
      </c>
      <c r="F132" s="10" t="n">
        <f aca="false">E132/'Correction factors'!$B$10</f>
        <v>5.1616</v>
      </c>
      <c r="G132" s="11" t="n">
        <v>348</v>
      </c>
    </row>
    <row r="133" customFormat="false" ht="15" hidden="false" customHeight="false" outlineLevel="0" collapsed="false">
      <c r="A133" s="10" t="n">
        <v>28.6781558990479</v>
      </c>
      <c r="B133" s="11" t="n">
        <v>160</v>
      </c>
      <c r="C133" s="12" t="n">
        <f aca="false">B133*'Correction factors'!$B$7</f>
        <v>774.24</v>
      </c>
      <c r="D133" s="13" t="n">
        <v>5.74383</v>
      </c>
      <c r="E133" s="14" t="n">
        <v>72</v>
      </c>
      <c r="F133" s="10" t="n">
        <f aca="false">E133/'Correction factors'!$B$10</f>
        <v>5.8068</v>
      </c>
      <c r="G133" s="11" t="n">
        <v>349</v>
      </c>
    </row>
    <row r="134" customFormat="false" ht="15" hidden="false" customHeight="false" outlineLevel="0" collapsed="false">
      <c r="A134" s="10" t="n">
        <v>28.6781558990479</v>
      </c>
      <c r="B134" s="11" t="n">
        <v>180</v>
      </c>
      <c r="C134" s="12" t="n">
        <f aca="false">B134*'Correction factors'!$B$7</f>
        <v>871.02</v>
      </c>
      <c r="D134" s="13" t="n">
        <v>5.734009</v>
      </c>
      <c r="E134" s="14" t="n">
        <v>72</v>
      </c>
      <c r="F134" s="10" t="n">
        <f aca="false">E134/'Correction factors'!$B$10</f>
        <v>5.8068</v>
      </c>
      <c r="G134" s="11" t="n">
        <v>351</v>
      </c>
    </row>
    <row r="135" customFormat="false" ht="15" hidden="false" customHeight="false" outlineLevel="0" collapsed="false">
      <c r="A135" s="10" t="n">
        <v>29.1117939949036</v>
      </c>
      <c r="B135" s="11" t="n">
        <v>160</v>
      </c>
      <c r="C135" s="12" t="n">
        <f aca="false">B135*'Correction factors'!$B$7</f>
        <v>774.24</v>
      </c>
      <c r="D135" s="13" t="n">
        <v>5.714366</v>
      </c>
      <c r="E135" s="14" t="n">
        <v>72</v>
      </c>
      <c r="F135" s="10" t="n">
        <f aca="false">E135/'Correction factors'!$B$10</f>
        <v>5.8068</v>
      </c>
      <c r="G135" s="11" t="n">
        <v>350</v>
      </c>
    </row>
    <row r="136" customFormat="false" ht="15" hidden="false" customHeight="false" outlineLevel="0" collapsed="false">
      <c r="A136" s="10" t="n">
        <v>29.1117939949036</v>
      </c>
      <c r="B136" s="11" t="n">
        <v>160</v>
      </c>
      <c r="C136" s="12" t="n">
        <f aca="false">B136*'Correction factors'!$B$7</f>
        <v>774.24</v>
      </c>
      <c r="D136" s="13" t="n">
        <v>5.694722</v>
      </c>
      <c r="E136" s="14" t="n">
        <v>72</v>
      </c>
      <c r="F136" s="10" t="n">
        <f aca="false">E136/'Correction factors'!$B$10</f>
        <v>5.8068</v>
      </c>
      <c r="G136" s="11" t="n">
        <v>350</v>
      </c>
    </row>
    <row r="137" customFormat="false" ht="15" hidden="false" customHeight="false" outlineLevel="0" collapsed="false">
      <c r="A137" s="10" t="n">
        <v>29.5390522480011</v>
      </c>
      <c r="B137" s="11" t="n">
        <v>180</v>
      </c>
      <c r="C137" s="12" t="n">
        <f aca="false">B137*'Correction factors'!$B$7</f>
        <v>871.02</v>
      </c>
      <c r="D137" s="13" t="n">
        <v>5.684901</v>
      </c>
      <c r="E137" s="14" t="n">
        <v>64</v>
      </c>
      <c r="F137" s="10" t="n">
        <f aca="false">E137/'Correction factors'!$B$10</f>
        <v>5.1616</v>
      </c>
      <c r="G137" s="11" t="n">
        <v>354</v>
      </c>
    </row>
    <row r="138" customFormat="false" ht="15" hidden="false" customHeight="false" outlineLevel="0" collapsed="false">
      <c r="A138" s="10" t="n">
        <v>29.5390522480011</v>
      </c>
      <c r="B138" s="11" t="n">
        <v>160</v>
      </c>
      <c r="C138" s="12" t="n">
        <f aca="false">B138*'Correction factors'!$B$7</f>
        <v>774.24</v>
      </c>
      <c r="D138" s="13" t="n">
        <v>5.655436</v>
      </c>
      <c r="E138" s="14" t="n">
        <v>72</v>
      </c>
      <c r="F138" s="10" t="n">
        <f aca="false">E138/'Correction factors'!$B$10</f>
        <v>5.8068</v>
      </c>
      <c r="G138" s="11" t="n">
        <v>355</v>
      </c>
    </row>
    <row r="139" customFormat="false" ht="15" hidden="false" customHeight="false" outlineLevel="0" collapsed="false">
      <c r="A139" s="10" t="n">
        <v>30.0149767398834</v>
      </c>
      <c r="B139" s="11" t="n">
        <v>160</v>
      </c>
      <c r="C139" s="12" t="n">
        <f aca="false">B139*'Correction factors'!$B$7</f>
        <v>774.24</v>
      </c>
      <c r="D139" s="13" t="n">
        <v>5.635793</v>
      </c>
      <c r="E139" s="14" t="n">
        <v>72</v>
      </c>
      <c r="F139" s="10" t="n">
        <f aca="false">E139/'Correction factors'!$B$10</f>
        <v>5.8068</v>
      </c>
      <c r="G139" s="11" t="n">
        <v>357</v>
      </c>
    </row>
    <row r="140" customFormat="false" ht="15" hidden="false" customHeight="false" outlineLevel="0" collapsed="false">
      <c r="A140" s="10" t="n">
        <v>30.0149767398834</v>
      </c>
      <c r="B140" s="11" t="n">
        <v>160</v>
      </c>
      <c r="C140" s="12" t="n">
        <f aca="false">B140*'Correction factors'!$B$7</f>
        <v>774.24</v>
      </c>
      <c r="D140" s="13" t="n">
        <v>5.625971</v>
      </c>
      <c r="E140" s="14" t="n">
        <v>72</v>
      </c>
      <c r="F140" s="10" t="n">
        <f aca="false">E140/'Correction factors'!$B$10</f>
        <v>5.8068</v>
      </c>
      <c r="G140" s="11" t="n">
        <v>357</v>
      </c>
    </row>
    <row r="141" customFormat="false" ht="15" hidden="false" customHeight="false" outlineLevel="0" collapsed="false">
      <c r="A141" s="10" t="n">
        <v>30.0149767398834</v>
      </c>
      <c r="B141" s="11" t="n">
        <v>160</v>
      </c>
      <c r="C141" s="12" t="n">
        <f aca="false">B141*'Correction factors'!$B$7</f>
        <v>774.24</v>
      </c>
      <c r="D141" s="13" t="n">
        <v>5.586685</v>
      </c>
      <c r="E141" s="14" t="n">
        <v>72</v>
      </c>
      <c r="F141" s="10" t="n">
        <f aca="false">E141/'Correction factors'!$B$10</f>
        <v>5.8068</v>
      </c>
      <c r="G141" s="11" t="n">
        <v>358</v>
      </c>
    </row>
    <row r="142" customFormat="false" ht="15" hidden="false" customHeight="false" outlineLevel="0" collapsed="false">
      <c r="A142" s="10" t="n">
        <v>30.5042641162872</v>
      </c>
      <c r="B142" s="11" t="n">
        <v>180</v>
      </c>
      <c r="C142" s="12" t="n">
        <f aca="false">B142*'Correction factors'!$B$7</f>
        <v>871.02</v>
      </c>
      <c r="D142" s="13" t="n">
        <v>5.567041</v>
      </c>
      <c r="E142" s="14" t="n">
        <v>80</v>
      </c>
      <c r="F142" s="10" t="n">
        <f aca="false">E142/'Correction factors'!$B$10</f>
        <v>6.452</v>
      </c>
      <c r="G142" s="11" t="n">
        <v>359</v>
      </c>
    </row>
    <row r="143" customFormat="false" ht="15" hidden="false" customHeight="false" outlineLevel="0" collapsed="false">
      <c r="A143" s="10" t="n">
        <v>30.5042641162872</v>
      </c>
      <c r="B143" s="11" t="n">
        <v>260</v>
      </c>
      <c r="C143" s="12" t="n">
        <f aca="false">B143*'Correction factors'!$B$7</f>
        <v>1258.14</v>
      </c>
      <c r="D143" s="13" t="n">
        <v>5.537577</v>
      </c>
      <c r="E143" s="14" t="n">
        <v>144</v>
      </c>
      <c r="F143" s="10" t="n">
        <f aca="false">E143/'Correction factors'!$B$10</f>
        <v>11.6136</v>
      </c>
      <c r="G143" s="11" t="n">
        <v>358</v>
      </c>
    </row>
    <row r="144" customFormat="false" ht="15" hidden="false" customHeight="false" outlineLevel="0" collapsed="false">
      <c r="A144" s="10" t="n">
        <v>30.9487383365631</v>
      </c>
      <c r="B144" s="11" t="n">
        <v>180</v>
      </c>
      <c r="C144" s="12" t="n">
        <f aca="false">B144*'Correction factors'!$B$7</f>
        <v>871.02</v>
      </c>
      <c r="D144" s="13" t="n">
        <v>5.517933</v>
      </c>
      <c r="E144" s="14" t="n">
        <v>80</v>
      </c>
      <c r="F144" s="10" t="n">
        <f aca="false">E144/'Correction factors'!$B$10</f>
        <v>6.452</v>
      </c>
      <c r="G144" s="11" t="n">
        <v>347</v>
      </c>
    </row>
    <row r="145" customFormat="false" ht="15" hidden="false" customHeight="false" outlineLevel="0" collapsed="false">
      <c r="A145" s="10" t="n">
        <v>30.9487383365631</v>
      </c>
      <c r="B145" s="11" t="n">
        <v>180</v>
      </c>
      <c r="C145" s="12" t="n">
        <f aca="false">B145*'Correction factors'!$B$7</f>
        <v>871.02</v>
      </c>
      <c r="D145" s="13" t="n">
        <v>5.508112</v>
      </c>
      <c r="E145" s="14" t="n">
        <v>80</v>
      </c>
      <c r="F145" s="10" t="n">
        <f aca="false">E145/'Correction factors'!$B$10</f>
        <v>6.452</v>
      </c>
      <c r="G145" s="11" t="n">
        <v>354</v>
      </c>
    </row>
    <row r="146" customFormat="false" ht="15" hidden="false" customHeight="false" outlineLevel="0" collapsed="false">
      <c r="A146" s="10" t="n">
        <v>31.3970279693604</v>
      </c>
      <c r="B146" s="11" t="n">
        <v>200</v>
      </c>
      <c r="C146" s="12" t="n">
        <f aca="false">B146*'Correction factors'!$B$7</f>
        <v>967.8</v>
      </c>
      <c r="D146" s="13" t="n">
        <v>5.468826</v>
      </c>
      <c r="E146" s="14" t="n">
        <v>72</v>
      </c>
      <c r="F146" s="10" t="n">
        <f aca="false">E146/'Correction factors'!$B$10</f>
        <v>5.8068</v>
      </c>
      <c r="G146" s="11" t="n">
        <v>360</v>
      </c>
    </row>
    <row r="147" customFormat="false" ht="15" hidden="false" customHeight="false" outlineLevel="0" collapsed="false">
      <c r="A147" s="10" t="n">
        <v>31.3970279693604</v>
      </c>
      <c r="B147" s="11" t="n">
        <v>200</v>
      </c>
      <c r="C147" s="12" t="n">
        <f aca="false">B147*'Correction factors'!$B$7</f>
        <v>967.8</v>
      </c>
      <c r="D147" s="13" t="n">
        <v>5.459004</v>
      </c>
      <c r="E147" s="14" t="n">
        <v>80</v>
      </c>
      <c r="F147" s="10" t="n">
        <f aca="false">E147/'Correction factors'!$B$10</f>
        <v>6.452</v>
      </c>
      <c r="G147" s="11" t="n">
        <v>359</v>
      </c>
    </row>
    <row r="148" customFormat="false" ht="15" hidden="false" customHeight="false" outlineLevel="0" collapsed="false">
      <c r="A148" s="10" t="n">
        <v>31.8440392017365</v>
      </c>
      <c r="B148" s="11" t="n">
        <v>200</v>
      </c>
      <c r="C148" s="12" t="n">
        <f aca="false">B148*'Correction factors'!$B$7</f>
        <v>967.8</v>
      </c>
      <c r="D148" s="13" t="n">
        <v>5.419718</v>
      </c>
      <c r="E148" s="14" t="n">
        <v>88</v>
      </c>
      <c r="F148" s="10" t="n">
        <f aca="false">E148/'Correction factors'!$B$10</f>
        <v>7.0972</v>
      </c>
      <c r="G148" s="11" t="n">
        <v>357</v>
      </c>
    </row>
    <row r="149" customFormat="false" ht="15" hidden="false" customHeight="false" outlineLevel="0" collapsed="false">
      <c r="A149" s="10" t="n">
        <v>31.8440392017365</v>
      </c>
      <c r="B149" s="11" t="n">
        <v>200</v>
      </c>
      <c r="C149" s="12" t="n">
        <f aca="false">B149*'Correction factors'!$B$7</f>
        <v>967.8</v>
      </c>
      <c r="D149" s="13" t="n">
        <v>5.419718</v>
      </c>
      <c r="E149" s="14" t="n">
        <v>80</v>
      </c>
      <c r="F149" s="10" t="n">
        <f aca="false">E149/'Correction factors'!$B$10</f>
        <v>6.452</v>
      </c>
      <c r="G149" s="11" t="n">
        <v>358</v>
      </c>
    </row>
    <row r="150" customFormat="false" ht="15" hidden="false" customHeight="false" outlineLevel="0" collapsed="false">
      <c r="A150" s="10" t="n">
        <v>32.2907540798187</v>
      </c>
      <c r="B150" s="11" t="n">
        <v>200</v>
      </c>
      <c r="C150" s="12" t="n">
        <f aca="false">B150*'Correction factors'!$B$7</f>
        <v>967.8</v>
      </c>
      <c r="D150" s="13" t="n">
        <v>5.400074</v>
      </c>
      <c r="E150" s="14" t="n">
        <v>80</v>
      </c>
      <c r="F150" s="10" t="n">
        <f aca="false">E150/'Correction factors'!$B$10</f>
        <v>6.452</v>
      </c>
      <c r="G150" s="11" t="n">
        <v>358</v>
      </c>
    </row>
    <row r="151" customFormat="false" ht="15" hidden="false" customHeight="false" outlineLevel="0" collapsed="false">
      <c r="A151" s="10" t="n">
        <v>32.2907540798187</v>
      </c>
      <c r="B151" s="11" t="n">
        <v>200</v>
      </c>
      <c r="C151" s="12" t="n">
        <f aca="false">B151*'Correction factors'!$B$7</f>
        <v>967.8</v>
      </c>
      <c r="D151" s="13" t="n">
        <v>5.390253</v>
      </c>
      <c r="E151" s="14" t="n">
        <v>80</v>
      </c>
      <c r="F151" s="10" t="n">
        <f aca="false">E151/'Correction factors'!$B$10</f>
        <v>6.452</v>
      </c>
      <c r="G151" s="11" t="n">
        <v>358</v>
      </c>
    </row>
    <row r="152" customFormat="false" ht="15" hidden="false" customHeight="false" outlineLevel="0" collapsed="false">
      <c r="A152" s="10" t="n">
        <v>32.2907540798187</v>
      </c>
      <c r="B152" s="11" t="n">
        <v>180</v>
      </c>
      <c r="C152" s="12" t="n">
        <f aca="false">B152*'Correction factors'!$B$7</f>
        <v>871.02</v>
      </c>
      <c r="D152" s="13" t="n">
        <v>5.380431</v>
      </c>
      <c r="E152" s="14" t="n">
        <v>80</v>
      </c>
      <c r="F152" s="10" t="n">
        <f aca="false">E152/'Correction factors'!$B$10</f>
        <v>6.452</v>
      </c>
      <c r="G152" s="11" t="n">
        <v>358</v>
      </c>
    </row>
    <row r="153" customFormat="false" ht="15" hidden="false" customHeight="false" outlineLevel="0" collapsed="false">
      <c r="A153" s="10" t="n">
        <v>32.7732615470886</v>
      </c>
      <c r="B153" s="11" t="n">
        <v>180</v>
      </c>
      <c r="C153" s="12" t="n">
        <f aca="false">B153*'Correction factors'!$B$7</f>
        <v>871.02</v>
      </c>
      <c r="D153" s="13" t="n">
        <v>5.37061</v>
      </c>
      <c r="E153" s="14" t="n">
        <v>80</v>
      </c>
      <c r="F153" s="10" t="n">
        <f aca="false">E153/'Correction factors'!$B$10</f>
        <v>6.452</v>
      </c>
      <c r="G153" s="11" t="n">
        <v>360</v>
      </c>
    </row>
    <row r="154" customFormat="false" ht="15" hidden="false" customHeight="false" outlineLevel="0" collapsed="false">
      <c r="A154" s="10" t="n">
        <v>32.7732615470886</v>
      </c>
      <c r="B154" s="11" t="n">
        <v>200</v>
      </c>
      <c r="C154" s="12" t="n">
        <f aca="false">B154*'Correction factors'!$B$7</f>
        <v>967.8</v>
      </c>
      <c r="D154" s="13" t="n">
        <v>5.350966</v>
      </c>
      <c r="E154" s="14" t="n">
        <v>88</v>
      </c>
      <c r="F154" s="10" t="n">
        <f aca="false">E154/'Correction factors'!$B$10</f>
        <v>7.0972</v>
      </c>
      <c r="G154" s="11" t="n">
        <v>362</v>
      </c>
    </row>
    <row r="155" customFormat="false" ht="15" hidden="false" customHeight="false" outlineLevel="0" collapsed="false">
      <c r="A155" s="10" t="n">
        <v>33.2184598445892</v>
      </c>
      <c r="B155" s="11" t="n">
        <v>200</v>
      </c>
      <c r="C155" s="12" t="n">
        <f aca="false">B155*'Correction factors'!$B$7</f>
        <v>967.8</v>
      </c>
      <c r="D155" s="13" t="n">
        <v>5.350966</v>
      </c>
      <c r="E155" s="14" t="n">
        <v>80</v>
      </c>
      <c r="F155" s="10" t="n">
        <f aca="false">E155/'Correction factors'!$B$10</f>
        <v>6.452</v>
      </c>
      <c r="G155" s="11" t="n">
        <v>360</v>
      </c>
    </row>
    <row r="156" customFormat="false" ht="15" hidden="false" customHeight="false" outlineLevel="0" collapsed="false">
      <c r="A156" s="10" t="n">
        <v>33.2184598445892</v>
      </c>
      <c r="B156" s="11" t="n">
        <v>200</v>
      </c>
      <c r="C156" s="12" t="n">
        <f aca="false">B156*'Correction factors'!$B$7</f>
        <v>967.8</v>
      </c>
      <c r="D156" s="13" t="n">
        <v>5.350966</v>
      </c>
      <c r="E156" s="14" t="n">
        <v>80</v>
      </c>
      <c r="F156" s="10" t="n">
        <f aca="false">E156/'Correction factors'!$B$10</f>
        <v>6.452</v>
      </c>
      <c r="G156" s="11" t="n">
        <v>360</v>
      </c>
    </row>
    <row r="157" customFormat="false" ht="15" hidden="false" customHeight="false" outlineLevel="0" collapsed="false">
      <c r="A157" s="10" t="n">
        <v>33.6699810028076</v>
      </c>
      <c r="B157" s="11" t="n">
        <v>200</v>
      </c>
      <c r="C157" s="12" t="n">
        <f aca="false">B157*'Correction factors'!$B$7</f>
        <v>967.8</v>
      </c>
      <c r="D157" s="13" t="n">
        <v>5.331323</v>
      </c>
      <c r="E157" s="14" t="n">
        <v>80</v>
      </c>
      <c r="F157" s="10" t="n">
        <f aca="false">E157/'Correction factors'!$B$10</f>
        <v>6.452</v>
      </c>
      <c r="G157" s="11" t="n">
        <v>360</v>
      </c>
    </row>
    <row r="158" customFormat="false" ht="15" hidden="false" customHeight="false" outlineLevel="0" collapsed="false">
      <c r="A158" s="10" t="n">
        <v>33.6699810028076</v>
      </c>
      <c r="B158" s="11" t="n">
        <v>180</v>
      </c>
      <c r="C158" s="12" t="n">
        <f aca="false">B158*'Correction factors'!$B$7</f>
        <v>871.02</v>
      </c>
      <c r="D158" s="13" t="n">
        <v>5.321502</v>
      </c>
      <c r="E158" s="14" t="n">
        <v>88</v>
      </c>
      <c r="F158" s="10" t="n">
        <f aca="false">E158/'Correction factors'!$B$10</f>
        <v>7.0972</v>
      </c>
      <c r="G158" s="11" t="n">
        <v>360</v>
      </c>
    </row>
    <row r="159" customFormat="false" ht="15" hidden="false" customHeight="false" outlineLevel="0" collapsed="false">
      <c r="A159" s="10" t="n">
        <v>34.151465177536</v>
      </c>
      <c r="B159" s="11" t="n">
        <v>180</v>
      </c>
      <c r="C159" s="12" t="n">
        <f aca="false">B159*'Correction factors'!$B$7</f>
        <v>871.02</v>
      </c>
      <c r="D159" s="13" t="n">
        <v>5.321502</v>
      </c>
      <c r="E159" s="14" t="n">
        <v>80</v>
      </c>
      <c r="F159" s="10" t="n">
        <f aca="false">E159/'Correction factors'!$B$10</f>
        <v>6.452</v>
      </c>
      <c r="G159" s="11" t="n">
        <v>364</v>
      </c>
    </row>
    <row r="160" customFormat="false" ht="15" hidden="false" customHeight="false" outlineLevel="0" collapsed="false">
      <c r="A160" s="10" t="n">
        <v>34.151465177536</v>
      </c>
      <c r="B160" s="11" t="n">
        <v>220</v>
      </c>
      <c r="C160" s="12" t="n">
        <f aca="false">B160*'Correction factors'!$B$7</f>
        <v>1064.58</v>
      </c>
      <c r="D160" s="13" t="n">
        <v>5.301858</v>
      </c>
      <c r="E160" s="14" t="n">
        <v>88</v>
      </c>
      <c r="F160" s="10" t="n">
        <f aca="false">E160/'Correction factors'!$B$10</f>
        <v>7.0972</v>
      </c>
      <c r="G160" s="11" t="n">
        <v>364</v>
      </c>
    </row>
    <row r="161" customFormat="false" ht="15" hidden="false" customHeight="false" outlineLevel="0" collapsed="false">
      <c r="A161" s="10" t="n">
        <v>34.151465177536</v>
      </c>
      <c r="B161" s="11" t="n">
        <v>220</v>
      </c>
      <c r="C161" s="12" t="n">
        <f aca="false">B161*'Correction factors'!$B$7</f>
        <v>1064.58</v>
      </c>
      <c r="D161" s="13" t="n">
        <v>5.292037</v>
      </c>
      <c r="E161" s="14" t="n">
        <v>88</v>
      </c>
      <c r="F161" s="10" t="n">
        <f aca="false">E161/'Correction factors'!$B$10</f>
        <v>7.0972</v>
      </c>
      <c r="G161" s="11" t="n">
        <v>362</v>
      </c>
    </row>
    <row r="162" customFormat="false" ht="15" hidden="false" customHeight="false" outlineLevel="0" collapsed="false">
      <c r="A162" s="10" t="n">
        <v>34.6250760555267</v>
      </c>
      <c r="B162" s="11" t="n">
        <v>220</v>
      </c>
      <c r="C162" s="12" t="n">
        <f aca="false">B162*'Correction factors'!$B$7</f>
        <v>1064.58</v>
      </c>
      <c r="D162" s="13" t="n">
        <v>5.282216</v>
      </c>
      <c r="E162" s="14" t="n">
        <v>88</v>
      </c>
      <c r="F162" s="10" t="n">
        <f aca="false">E162/'Correction factors'!$B$10</f>
        <v>7.0972</v>
      </c>
      <c r="G162" s="11" t="n">
        <v>360</v>
      </c>
    </row>
    <row r="163" customFormat="false" ht="15" hidden="false" customHeight="false" outlineLevel="0" collapsed="false">
      <c r="A163" s="10" t="n">
        <v>34.6250760555267</v>
      </c>
      <c r="B163" s="11" t="n">
        <v>180</v>
      </c>
      <c r="C163" s="12" t="n">
        <f aca="false">B163*'Correction factors'!$B$7</f>
        <v>871.02</v>
      </c>
      <c r="D163" s="13" t="n">
        <v>5.262572</v>
      </c>
      <c r="E163" s="14" t="n">
        <v>88</v>
      </c>
      <c r="F163" s="10" t="n">
        <f aca="false">E163/'Correction factors'!$B$10</f>
        <v>7.0972</v>
      </c>
      <c r="G163" s="11" t="n">
        <v>360</v>
      </c>
    </row>
    <row r="164" customFormat="false" ht="15" hidden="false" customHeight="false" outlineLevel="0" collapsed="false">
      <c r="A164" s="10" t="n">
        <v>35.0773475170136</v>
      </c>
      <c r="B164" s="11" t="n">
        <v>200</v>
      </c>
      <c r="C164" s="12" t="n">
        <f aca="false">B164*'Correction factors'!$B$7</f>
        <v>967.8</v>
      </c>
      <c r="D164" s="13" t="n">
        <v>5.252751</v>
      </c>
      <c r="E164" s="14" t="n">
        <v>88</v>
      </c>
      <c r="F164" s="10" t="n">
        <f aca="false">E164/'Correction factors'!$B$10</f>
        <v>7.0972</v>
      </c>
      <c r="G164" s="11" t="n">
        <v>365</v>
      </c>
    </row>
    <row r="165" customFormat="false" ht="15" hidden="false" customHeight="false" outlineLevel="0" collapsed="false">
      <c r="A165" s="10" t="n">
        <v>35.0773475170136</v>
      </c>
      <c r="B165" s="11" t="n">
        <v>220</v>
      </c>
      <c r="C165" s="12" t="n">
        <f aca="false">B165*'Correction factors'!$B$7</f>
        <v>1064.58</v>
      </c>
      <c r="D165" s="13" t="n">
        <v>5.233108</v>
      </c>
      <c r="E165" s="14" t="n">
        <v>96</v>
      </c>
      <c r="F165" s="10" t="n">
        <f aca="false">E165/'Correction factors'!$B$10</f>
        <v>7.7424</v>
      </c>
      <c r="G165" s="11" t="n">
        <v>365</v>
      </c>
    </row>
    <row r="166" customFormat="false" ht="15" hidden="false" customHeight="false" outlineLevel="0" collapsed="false">
      <c r="A166" s="10" t="n">
        <v>35.5380508899689</v>
      </c>
      <c r="B166" s="11" t="n">
        <v>200</v>
      </c>
      <c r="C166" s="12" t="n">
        <f aca="false">B166*'Correction factors'!$B$7</f>
        <v>967.8</v>
      </c>
      <c r="D166" s="13" t="n">
        <v>5.233108</v>
      </c>
      <c r="E166" s="14" t="n">
        <v>88</v>
      </c>
      <c r="F166" s="10" t="n">
        <f aca="false">E166/'Correction factors'!$B$10</f>
        <v>7.0972</v>
      </c>
      <c r="G166" s="11" t="n">
        <v>360</v>
      </c>
    </row>
    <row r="167" customFormat="false" ht="15" hidden="false" customHeight="false" outlineLevel="0" collapsed="false">
      <c r="A167" s="10" t="n">
        <v>35.5380508899689</v>
      </c>
      <c r="B167" s="11" t="n">
        <v>200</v>
      </c>
      <c r="C167" s="12" t="n">
        <f aca="false">B167*'Correction factors'!$B$7</f>
        <v>967.8</v>
      </c>
      <c r="D167" s="13" t="n">
        <v>5.233108</v>
      </c>
      <c r="E167" s="14" t="n">
        <v>96</v>
      </c>
      <c r="F167" s="10" t="n">
        <f aca="false">E167/'Correction factors'!$B$10</f>
        <v>7.7424</v>
      </c>
      <c r="G167" s="11" t="n">
        <v>362</v>
      </c>
    </row>
    <row r="168" customFormat="false" ht="15" hidden="false" customHeight="false" outlineLevel="0" collapsed="false">
      <c r="A168" s="10" t="n">
        <v>36.0079028606415</v>
      </c>
      <c r="B168" s="11" t="n">
        <v>200</v>
      </c>
      <c r="C168" s="12" t="n">
        <f aca="false">B168*'Correction factors'!$B$7</f>
        <v>967.8</v>
      </c>
      <c r="D168" s="13" t="n">
        <v>5.223286</v>
      </c>
      <c r="E168" s="14" t="n">
        <v>88</v>
      </c>
      <c r="F168" s="10" t="n">
        <f aca="false">E168/'Correction factors'!$B$10</f>
        <v>7.0972</v>
      </c>
      <c r="G168" s="11" t="n">
        <v>363</v>
      </c>
    </row>
    <row r="169" customFormat="false" ht="15" hidden="false" customHeight="false" outlineLevel="0" collapsed="false">
      <c r="A169" s="10" t="n">
        <v>36.0079028606415</v>
      </c>
      <c r="B169" s="11" t="n">
        <v>200</v>
      </c>
      <c r="C169" s="12" t="n">
        <f aca="false">B169*'Correction factors'!$B$7</f>
        <v>967.8</v>
      </c>
      <c r="D169" s="13" t="n">
        <v>5.223286</v>
      </c>
      <c r="E169" s="14" t="n">
        <v>88</v>
      </c>
      <c r="F169" s="10" t="n">
        <f aca="false">E169/'Correction factors'!$B$10</f>
        <v>7.0972</v>
      </c>
      <c r="G169" s="11" t="n">
        <v>363</v>
      </c>
    </row>
    <row r="170" customFormat="false" ht="15" hidden="false" customHeight="false" outlineLevel="0" collapsed="false">
      <c r="A170" s="10" t="n">
        <v>36.0079028606415</v>
      </c>
      <c r="B170" s="11" t="n">
        <v>200</v>
      </c>
      <c r="C170" s="12" t="n">
        <f aca="false">B170*'Correction factors'!$B$7</f>
        <v>967.8</v>
      </c>
      <c r="D170" s="13" t="n">
        <v>5.213464</v>
      </c>
      <c r="E170" s="14" t="n">
        <v>88</v>
      </c>
      <c r="F170" s="10" t="n">
        <f aca="false">E170/'Correction factors'!$B$10</f>
        <v>7.0972</v>
      </c>
      <c r="G170" s="11" t="n">
        <v>362</v>
      </c>
    </row>
    <row r="171" customFormat="false" ht="15" hidden="false" customHeight="false" outlineLevel="0" collapsed="false">
      <c r="A171" s="10" t="n">
        <v>36.5143125057221</v>
      </c>
      <c r="B171" s="11" t="n">
        <v>200</v>
      </c>
      <c r="C171" s="12" t="n">
        <f aca="false">B171*'Correction factors'!$B$7</f>
        <v>967.8</v>
      </c>
      <c r="D171" s="13" t="n">
        <v>5.213464</v>
      </c>
      <c r="E171" s="14" t="n">
        <v>88</v>
      </c>
      <c r="F171" s="10" t="n">
        <f aca="false">E171/'Correction factors'!$B$10</f>
        <v>7.0972</v>
      </c>
      <c r="G171" s="11" t="n">
        <v>363</v>
      </c>
    </row>
    <row r="172" customFormat="false" ht="15" hidden="false" customHeight="false" outlineLevel="0" collapsed="false">
      <c r="A172" s="10" t="n">
        <v>36.5143125057221</v>
      </c>
      <c r="B172" s="11" t="n">
        <v>200</v>
      </c>
      <c r="C172" s="12" t="n">
        <f aca="false">B172*'Correction factors'!$B$7</f>
        <v>967.8</v>
      </c>
      <c r="D172" s="13" t="n">
        <v>5.203642</v>
      </c>
      <c r="E172" s="14" t="n">
        <v>88</v>
      </c>
      <c r="F172" s="10" t="n">
        <f aca="false">E172/'Correction factors'!$B$10</f>
        <v>7.0972</v>
      </c>
      <c r="G172" s="11" t="n">
        <v>363</v>
      </c>
    </row>
    <row r="173" customFormat="false" ht="15" hidden="false" customHeight="false" outlineLevel="0" collapsed="false">
      <c r="A173" s="10" t="n">
        <v>36.9875948429108</v>
      </c>
      <c r="B173" s="11" t="n">
        <v>220</v>
      </c>
      <c r="C173" s="12" t="n">
        <f aca="false">B173*'Correction factors'!$B$7</f>
        <v>1064.58</v>
      </c>
      <c r="D173" s="13" t="n">
        <v>5.203642</v>
      </c>
      <c r="E173" s="14" t="n">
        <v>96</v>
      </c>
      <c r="F173" s="10" t="n">
        <f aca="false">E173/'Correction factors'!$B$10</f>
        <v>7.7424</v>
      </c>
      <c r="G173" s="11" t="n">
        <v>363</v>
      </c>
    </row>
    <row r="174" customFormat="false" ht="15" hidden="false" customHeight="false" outlineLevel="0" collapsed="false">
      <c r="A174" s="10" t="n">
        <v>36.9875948429108</v>
      </c>
      <c r="B174" s="11" t="n">
        <v>200</v>
      </c>
      <c r="C174" s="12" t="n">
        <f aca="false">B174*'Correction factors'!$B$7</f>
        <v>967.8</v>
      </c>
      <c r="D174" s="13" t="n">
        <v>5.184</v>
      </c>
      <c r="E174" s="14" t="n">
        <v>88</v>
      </c>
      <c r="F174" s="10" t="n">
        <f aca="false">E174/'Correction factors'!$B$10</f>
        <v>7.0972</v>
      </c>
      <c r="G174" s="11" t="n">
        <v>364</v>
      </c>
    </row>
    <row r="175" customFormat="false" ht="15" hidden="false" customHeight="false" outlineLevel="0" collapsed="false">
      <c r="A175" s="10" t="n">
        <v>37.4421067237854</v>
      </c>
      <c r="B175" s="11" t="n">
        <v>200</v>
      </c>
      <c r="C175" s="12" t="n">
        <f aca="false">B175*'Correction factors'!$B$7</f>
        <v>967.8</v>
      </c>
      <c r="D175" s="13" t="n">
        <v>5.193821</v>
      </c>
      <c r="E175" s="14" t="n">
        <v>88</v>
      </c>
      <c r="F175" s="10" t="n">
        <f aca="false">E175/'Correction factors'!$B$10</f>
        <v>7.0972</v>
      </c>
      <c r="G175" s="11" t="n">
        <v>364</v>
      </c>
    </row>
    <row r="176" customFormat="false" ht="15" hidden="false" customHeight="false" outlineLevel="0" collapsed="false">
      <c r="A176" s="10" t="n">
        <v>37.4421067237854</v>
      </c>
      <c r="B176" s="11" t="n">
        <v>200</v>
      </c>
      <c r="C176" s="12" t="n">
        <f aca="false">B176*'Correction factors'!$B$7</f>
        <v>967.8</v>
      </c>
      <c r="D176" s="13" t="n">
        <v>5.174178</v>
      </c>
      <c r="E176" s="14" t="n">
        <v>88</v>
      </c>
      <c r="F176" s="10" t="n">
        <f aca="false">E176/'Correction factors'!$B$10</f>
        <v>7.0972</v>
      </c>
      <c r="G176" s="11" t="n">
        <v>364</v>
      </c>
    </row>
    <row r="177" customFormat="false" ht="15" hidden="false" customHeight="false" outlineLevel="0" collapsed="false">
      <c r="A177" s="10" t="n">
        <v>37.4421067237854</v>
      </c>
      <c r="B177" s="11" t="n">
        <v>200</v>
      </c>
      <c r="C177" s="12" t="n">
        <f aca="false">B177*'Correction factors'!$B$7</f>
        <v>967.8</v>
      </c>
      <c r="D177" s="13" t="n">
        <v>5.174178</v>
      </c>
      <c r="E177" s="14" t="n">
        <v>96</v>
      </c>
      <c r="F177" s="10" t="n">
        <f aca="false">E177/'Correction factors'!$B$10</f>
        <v>7.7424</v>
      </c>
      <c r="G177" s="11" t="n">
        <v>364</v>
      </c>
    </row>
    <row r="178" customFormat="false" ht="15" hidden="false" customHeight="false" outlineLevel="0" collapsed="false">
      <c r="A178" s="10" t="n">
        <v>37.9528007507324</v>
      </c>
      <c r="B178" s="11" t="n">
        <v>200</v>
      </c>
      <c r="C178" s="12" t="n">
        <f aca="false">B178*'Correction factors'!$B$7</f>
        <v>967.8</v>
      </c>
      <c r="D178" s="13" t="n">
        <v>5.174178</v>
      </c>
      <c r="E178" s="14" t="n">
        <v>88</v>
      </c>
      <c r="F178" s="10" t="n">
        <f aca="false">E178/'Correction factors'!$B$10</f>
        <v>7.0972</v>
      </c>
      <c r="G178" s="11" t="n">
        <v>364</v>
      </c>
    </row>
    <row r="179" customFormat="false" ht="15" hidden="false" customHeight="false" outlineLevel="0" collapsed="false">
      <c r="A179" s="10" t="n">
        <v>37.9528007507324</v>
      </c>
      <c r="B179" s="11" t="n">
        <v>200</v>
      </c>
      <c r="C179" s="12" t="n">
        <f aca="false">B179*'Correction factors'!$B$7</f>
        <v>967.8</v>
      </c>
      <c r="D179" s="13" t="n">
        <v>5.164356</v>
      </c>
      <c r="E179" s="14" t="n">
        <v>88</v>
      </c>
      <c r="F179" s="10" t="n">
        <f aca="false">E179/'Correction factors'!$B$10</f>
        <v>7.0972</v>
      </c>
      <c r="G179" s="11" t="n">
        <v>364</v>
      </c>
    </row>
    <row r="180" customFormat="false" ht="15" hidden="false" customHeight="false" outlineLevel="0" collapsed="false">
      <c r="A180" s="10" t="n">
        <v>38.4157040119171</v>
      </c>
      <c r="B180" s="11" t="n">
        <v>200</v>
      </c>
      <c r="C180" s="12" t="n">
        <f aca="false">B180*'Correction factors'!$B$7</f>
        <v>967.8</v>
      </c>
      <c r="D180" s="13" t="n">
        <v>5.154535</v>
      </c>
      <c r="E180" s="14" t="n">
        <v>96</v>
      </c>
      <c r="F180" s="10" t="n">
        <f aca="false">E180/'Correction factors'!$B$10</f>
        <v>7.7424</v>
      </c>
      <c r="G180" s="11" t="n">
        <v>365</v>
      </c>
    </row>
    <row r="181" customFormat="false" ht="15" hidden="false" customHeight="false" outlineLevel="0" collapsed="false">
      <c r="A181" s="10" t="n">
        <v>38.4157040119171</v>
      </c>
      <c r="B181" s="11" t="n">
        <v>200</v>
      </c>
      <c r="C181" s="12" t="n">
        <f aca="false">B181*'Correction factors'!$B$7</f>
        <v>967.8</v>
      </c>
      <c r="D181" s="13" t="n">
        <v>5.144713</v>
      </c>
      <c r="E181" s="14" t="n">
        <v>88</v>
      </c>
      <c r="F181" s="10" t="n">
        <f aca="false">E181/'Correction factors'!$B$10</f>
        <v>7.0972</v>
      </c>
      <c r="G181" s="11" t="n">
        <v>365</v>
      </c>
    </row>
    <row r="182" customFormat="false" ht="15" hidden="false" customHeight="false" outlineLevel="0" collapsed="false">
      <c r="A182" s="10" t="n">
        <v>38.918062210083</v>
      </c>
      <c r="B182" s="11" t="n">
        <v>200</v>
      </c>
      <c r="C182" s="12" t="n">
        <f aca="false">B182*'Correction factors'!$B$7</f>
        <v>967.8</v>
      </c>
      <c r="D182" s="13" t="n">
        <v>5.134892</v>
      </c>
      <c r="E182" s="14" t="n">
        <v>96</v>
      </c>
      <c r="F182" s="10" t="n">
        <f aca="false">E182/'Correction factors'!$B$10</f>
        <v>7.7424</v>
      </c>
      <c r="G182" s="11" t="n">
        <v>366</v>
      </c>
    </row>
    <row r="183" customFormat="false" ht="15" hidden="false" customHeight="false" outlineLevel="0" collapsed="false">
      <c r="A183" s="10" t="n">
        <v>38.918062210083</v>
      </c>
      <c r="B183" s="11" t="n">
        <v>200</v>
      </c>
      <c r="C183" s="12" t="n">
        <f aca="false">B183*'Correction factors'!$B$7</f>
        <v>967.8</v>
      </c>
      <c r="D183" s="13" t="n">
        <v>5.134892</v>
      </c>
      <c r="E183" s="14" t="n">
        <v>96</v>
      </c>
      <c r="F183" s="10" t="n">
        <f aca="false">E183/'Correction factors'!$B$10</f>
        <v>7.7424</v>
      </c>
      <c r="G183" s="11" t="n">
        <v>366</v>
      </c>
    </row>
    <row r="184" customFormat="false" ht="15" hidden="false" customHeight="false" outlineLevel="0" collapsed="false">
      <c r="A184" s="10" t="n">
        <v>38.918062210083</v>
      </c>
      <c r="B184" s="11" t="n">
        <v>200</v>
      </c>
      <c r="C184" s="12" t="n">
        <f aca="false">B184*'Correction factors'!$B$7</f>
        <v>967.8</v>
      </c>
      <c r="D184" s="13" t="n">
        <v>5.12507</v>
      </c>
      <c r="E184" s="14" t="n">
        <v>96</v>
      </c>
      <c r="F184" s="10" t="n">
        <f aca="false">E184/'Correction factors'!$B$10</f>
        <v>7.7424</v>
      </c>
      <c r="G184" s="11" t="n">
        <v>366</v>
      </c>
    </row>
    <row r="185" customFormat="false" ht="15" hidden="false" customHeight="false" outlineLevel="0" collapsed="false">
      <c r="A185" s="10" t="n">
        <v>39.411740064621</v>
      </c>
      <c r="B185" s="11" t="n">
        <v>200</v>
      </c>
      <c r="C185" s="12" t="n">
        <f aca="false">B185*'Correction factors'!$B$7</f>
        <v>967.8</v>
      </c>
      <c r="D185" s="13" t="n">
        <v>5.105427</v>
      </c>
      <c r="E185" s="14" t="n">
        <v>88</v>
      </c>
      <c r="F185" s="10" t="n">
        <f aca="false">E185/'Correction factors'!$B$10</f>
        <v>7.0972</v>
      </c>
      <c r="G185" s="11" t="n">
        <v>366</v>
      </c>
    </row>
    <row r="186" customFormat="false" ht="15" hidden="false" customHeight="false" outlineLevel="0" collapsed="false">
      <c r="A186" s="10" t="n">
        <v>39.411740064621</v>
      </c>
      <c r="B186" s="11" t="n">
        <v>200</v>
      </c>
      <c r="C186" s="12" t="n">
        <f aca="false">B186*'Correction factors'!$B$7</f>
        <v>967.8</v>
      </c>
      <c r="D186" s="13" t="n">
        <v>5.105427</v>
      </c>
      <c r="E186" s="14" t="n">
        <v>96</v>
      </c>
      <c r="F186" s="10" t="n">
        <f aca="false">E186/'Correction factors'!$B$10</f>
        <v>7.7424</v>
      </c>
      <c r="G186" s="11" t="n">
        <v>366</v>
      </c>
    </row>
    <row r="187" customFormat="false" ht="15" hidden="false" customHeight="false" outlineLevel="0" collapsed="false">
      <c r="A187" s="10" t="n">
        <v>39.8752937316895</v>
      </c>
      <c r="B187" s="11" t="n">
        <v>200</v>
      </c>
      <c r="C187" s="12" t="n">
        <f aca="false">B187*'Correction factors'!$B$7</f>
        <v>967.8</v>
      </c>
      <c r="D187" s="13" t="n">
        <v>5.095605</v>
      </c>
      <c r="E187" s="14" t="n">
        <v>96</v>
      </c>
      <c r="F187" s="10" t="n">
        <f aca="false">E187/'Correction factors'!$B$10</f>
        <v>7.7424</v>
      </c>
      <c r="G187" s="11" t="n">
        <v>366</v>
      </c>
    </row>
    <row r="188" customFormat="false" ht="15" hidden="false" customHeight="false" outlineLevel="0" collapsed="false">
      <c r="A188" s="10" t="n">
        <v>39.8752937316895</v>
      </c>
      <c r="B188" s="11" t="n">
        <v>220</v>
      </c>
      <c r="C188" s="12" t="n">
        <f aca="false">B188*'Correction factors'!$B$7</f>
        <v>1064.58</v>
      </c>
      <c r="D188" s="13" t="n">
        <v>5.095605</v>
      </c>
      <c r="E188" s="14" t="n">
        <v>96</v>
      </c>
      <c r="F188" s="10" t="n">
        <f aca="false">E188/'Correction factors'!$B$10</f>
        <v>7.7424</v>
      </c>
      <c r="G188" s="11" t="n">
        <v>365</v>
      </c>
    </row>
    <row r="189" customFormat="false" ht="15" hidden="false" customHeight="false" outlineLevel="0" collapsed="false">
      <c r="A189" s="10" t="n">
        <v>40.3387777805328</v>
      </c>
      <c r="B189" s="11" t="n">
        <v>200</v>
      </c>
      <c r="C189" s="12" t="n">
        <f aca="false">B189*'Correction factors'!$B$7</f>
        <v>967.8</v>
      </c>
      <c r="D189" s="13" t="n">
        <v>5.085783</v>
      </c>
      <c r="E189" s="14" t="n">
        <v>88</v>
      </c>
      <c r="F189" s="10" t="n">
        <f aca="false">E189/'Correction factors'!$B$10</f>
        <v>7.0972</v>
      </c>
      <c r="G189" s="11" t="n">
        <v>365</v>
      </c>
    </row>
    <row r="190" customFormat="false" ht="15" hidden="false" customHeight="false" outlineLevel="0" collapsed="false">
      <c r="A190" s="10" t="n">
        <v>40.3387777805328</v>
      </c>
      <c r="B190" s="11" t="n">
        <v>220</v>
      </c>
      <c r="C190" s="12" t="n">
        <f aca="false">B190*'Correction factors'!$B$7</f>
        <v>1064.58</v>
      </c>
      <c r="D190" s="13" t="n">
        <v>5.075962</v>
      </c>
      <c r="E190" s="14" t="n">
        <v>96</v>
      </c>
      <c r="F190" s="10" t="n">
        <f aca="false">E190/'Correction factors'!$B$10</f>
        <v>7.7424</v>
      </c>
      <c r="G190" s="11" t="n">
        <v>365</v>
      </c>
    </row>
    <row r="191" customFormat="false" ht="15" hidden="false" customHeight="false" outlineLevel="0" collapsed="false">
      <c r="A191" s="10" t="n">
        <v>40.3387777805328</v>
      </c>
      <c r="B191" s="11" t="n">
        <v>200</v>
      </c>
      <c r="C191" s="12" t="n">
        <f aca="false">B191*'Correction factors'!$B$7</f>
        <v>967.8</v>
      </c>
      <c r="D191" s="13" t="n">
        <v>5.075962</v>
      </c>
      <c r="E191" s="14" t="n">
        <v>96</v>
      </c>
      <c r="F191" s="10" t="n">
        <f aca="false">E191/'Correction factors'!$B$10</f>
        <v>7.7424</v>
      </c>
      <c r="G191" s="11" t="n">
        <v>365</v>
      </c>
    </row>
    <row r="192" customFormat="false" ht="15" hidden="false" customHeight="false" outlineLevel="0" collapsed="false">
      <c r="A192" s="10" t="n">
        <v>40.8605093955994</v>
      </c>
      <c r="B192" s="11" t="n">
        <v>200</v>
      </c>
      <c r="C192" s="12" t="n">
        <f aca="false">B192*'Correction factors'!$B$7</f>
        <v>967.8</v>
      </c>
      <c r="D192" s="13" t="n">
        <v>5.06614</v>
      </c>
      <c r="E192" s="14" t="n">
        <v>88</v>
      </c>
      <c r="F192" s="10" t="n">
        <f aca="false">E192/'Correction factors'!$B$10</f>
        <v>7.0972</v>
      </c>
      <c r="G192" s="11" t="n">
        <v>367</v>
      </c>
    </row>
    <row r="193" customFormat="false" ht="15" hidden="false" customHeight="false" outlineLevel="0" collapsed="false">
      <c r="A193" s="10" t="n">
        <v>40.8605093955994</v>
      </c>
      <c r="B193" s="11" t="n">
        <v>220</v>
      </c>
      <c r="C193" s="12" t="n">
        <f aca="false">B193*'Correction factors'!$B$7</f>
        <v>1064.58</v>
      </c>
      <c r="D193" s="13" t="n">
        <v>5.075962</v>
      </c>
      <c r="E193" s="14" t="n">
        <v>96</v>
      </c>
      <c r="F193" s="10" t="n">
        <f aca="false">E193/'Correction factors'!$B$10</f>
        <v>7.7424</v>
      </c>
      <c r="G193" s="11" t="n">
        <v>366</v>
      </c>
    </row>
    <row r="194" customFormat="false" ht="15" hidden="false" customHeight="false" outlineLevel="0" collapsed="false">
      <c r="A194" s="10" t="n">
        <v>41.3019125461578</v>
      </c>
      <c r="B194" s="11" t="n">
        <v>220</v>
      </c>
      <c r="C194" s="12" t="n">
        <f aca="false">B194*'Correction factors'!$B$7</f>
        <v>1064.58</v>
      </c>
      <c r="D194" s="13" t="n">
        <v>5.046497</v>
      </c>
      <c r="E194" s="14" t="n">
        <v>96</v>
      </c>
      <c r="F194" s="10" t="n">
        <f aca="false">E194/'Correction factors'!$B$10</f>
        <v>7.7424</v>
      </c>
      <c r="G194" s="11" t="n">
        <v>366</v>
      </c>
    </row>
    <row r="195" customFormat="false" ht="15" hidden="false" customHeight="false" outlineLevel="0" collapsed="false">
      <c r="A195" s="10" t="n">
        <v>41.3019125461578</v>
      </c>
      <c r="B195" s="11" t="n">
        <v>220</v>
      </c>
      <c r="C195" s="12" t="n">
        <f aca="false">B195*'Correction factors'!$B$7</f>
        <v>1064.58</v>
      </c>
      <c r="D195" s="13" t="n">
        <v>5.046497</v>
      </c>
      <c r="E195" s="14" t="n">
        <v>104</v>
      </c>
      <c r="F195" s="10" t="n">
        <f aca="false">E195/'Correction factors'!$B$10</f>
        <v>8.3876</v>
      </c>
      <c r="G195" s="11" t="n">
        <v>365</v>
      </c>
    </row>
    <row r="196" customFormat="false" ht="15" hidden="false" customHeight="false" outlineLevel="0" collapsed="false">
      <c r="A196" s="10" t="n">
        <v>41.7536540031433</v>
      </c>
      <c r="B196" s="11" t="n">
        <v>220</v>
      </c>
      <c r="C196" s="12" t="n">
        <f aca="false">B196*'Correction factors'!$B$7</f>
        <v>1064.58</v>
      </c>
      <c r="D196" s="13" t="n">
        <v>5.036675</v>
      </c>
      <c r="E196" s="14" t="n">
        <v>96</v>
      </c>
      <c r="F196" s="10" t="n">
        <f aca="false">E196/'Correction factors'!$B$10</f>
        <v>7.7424</v>
      </c>
      <c r="G196" s="11" t="n">
        <v>365</v>
      </c>
    </row>
    <row r="197" customFormat="false" ht="15" hidden="false" customHeight="false" outlineLevel="0" collapsed="false">
      <c r="A197" s="10" t="n">
        <v>41.7536540031433</v>
      </c>
      <c r="B197" s="11" t="n">
        <v>220</v>
      </c>
      <c r="C197" s="12" t="n">
        <f aca="false">B197*'Correction factors'!$B$7</f>
        <v>1064.58</v>
      </c>
      <c r="D197" s="13" t="n">
        <v>5.036675</v>
      </c>
      <c r="E197" s="14" t="n">
        <v>96</v>
      </c>
      <c r="F197" s="10" t="n">
        <f aca="false">E197/'Correction factors'!$B$10</f>
        <v>7.7424</v>
      </c>
      <c r="G197" s="11" t="n">
        <v>365</v>
      </c>
    </row>
    <row r="198" customFormat="false" ht="15" hidden="false" customHeight="false" outlineLevel="0" collapsed="false">
      <c r="A198" s="10" t="n">
        <v>42.2032587528229</v>
      </c>
      <c r="B198" s="11" t="n">
        <v>220</v>
      </c>
      <c r="C198" s="12" t="n">
        <f aca="false">B198*'Correction factors'!$B$7</f>
        <v>1064.58</v>
      </c>
      <c r="D198" s="13" t="n">
        <v>5.017033</v>
      </c>
      <c r="E198" s="14" t="n">
        <v>96</v>
      </c>
      <c r="F198" s="10" t="n">
        <f aca="false">E198/'Correction factors'!$B$10</f>
        <v>7.7424</v>
      </c>
      <c r="G198" s="11" t="n">
        <v>365</v>
      </c>
    </row>
    <row r="199" customFormat="false" ht="15" hidden="false" customHeight="false" outlineLevel="0" collapsed="false">
      <c r="A199" s="10" t="n">
        <v>42.2032587528229</v>
      </c>
      <c r="B199" s="11" t="n">
        <v>220</v>
      </c>
      <c r="C199" s="12" t="n">
        <f aca="false">B199*'Correction factors'!$B$7</f>
        <v>1064.58</v>
      </c>
      <c r="D199" s="13" t="n">
        <v>5.017033</v>
      </c>
      <c r="E199" s="14" t="n">
        <v>96</v>
      </c>
      <c r="F199" s="10" t="n">
        <f aca="false">E199/'Correction factors'!$B$10</f>
        <v>7.7424</v>
      </c>
      <c r="G199" s="11" t="n">
        <v>365</v>
      </c>
    </row>
    <row r="200" customFormat="false" ht="15" hidden="false" customHeight="false" outlineLevel="0" collapsed="false">
      <c r="A200" s="10" t="n">
        <v>42.2032587528229</v>
      </c>
      <c r="B200" s="11" t="n">
        <v>220</v>
      </c>
      <c r="C200" s="12" t="n">
        <f aca="false">B200*'Correction factors'!$B$7</f>
        <v>1064.58</v>
      </c>
      <c r="D200" s="13" t="n">
        <v>5.007211</v>
      </c>
      <c r="E200" s="14" t="n">
        <v>96</v>
      </c>
      <c r="F200" s="10" t="n">
        <f aca="false">E200/'Correction factors'!$B$10</f>
        <v>7.7424</v>
      </c>
      <c r="G200" s="11" t="n">
        <v>365</v>
      </c>
    </row>
    <row r="201" customFormat="false" ht="15" hidden="false" customHeight="false" outlineLevel="0" collapsed="false">
      <c r="A201" s="10" t="n">
        <v>42.7212586402893</v>
      </c>
      <c r="B201" s="11" t="n">
        <v>200</v>
      </c>
      <c r="C201" s="12" t="n">
        <f aca="false">B201*'Correction factors'!$B$7</f>
        <v>967.8</v>
      </c>
      <c r="D201" s="13" t="n">
        <v>5.007211</v>
      </c>
      <c r="E201" s="14" t="n">
        <v>96</v>
      </c>
      <c r="F201" s="10" t="n">
        <f aca="false">E201/'Correction factors'!$B$10</f>
        <v>7.7424</v>
      </c>
      <c r="G201" s="11" t="n">
        <v>365</v>
      </c>
    </row>
    <row r="202" customFormat="false" ht="15" hidden="false" customHeight="false" outlineLevel="0" collapsed="false">
      <c r="A202" s="10" t="n">
        <v>42.7212586402893</v>
      </c>
      <c r="B202" s="11" t="n">
        <v>200</v>
      </c>
      <c r="C202" s="12" t="n">
        <f aca="false">B202*'Correction factors'!$B$7</f>
        <v>967.8</v>
      </c>
      <c r="D202" s="13" t="n">
        <v>4.997389</v>
      </c>
      <c r="E202" s="14" t="n">
        <v>88</v>
      </c>
      <c r="F202" s="10" t="n">
        <f aca="false">E202/'Correction factors'!$B$10</f>
        <v>7.0972</v>
      </c>
      <c r="G202" s="11" t="n">
        <v>365</v>
      </c>
    </row>
    <row r="203" customFormat="false" ht="15" hidden="false" customHeight="false" outlineLevel="0" collapsed="false">
      <c r="A203" s="10" t="n">
        <v>43.2162582874298</v>
      </c>
      <c r="B203" s="11" t="n">
        <v>200</v>
      </c>
      <c r="C203" s="12" t="n">
        <f aca="false">B203*'Correction factors'!$B$7</f>
        <v>967.8</v>
      </c>
      <c r="D203" s="13" t="n">
        <v>4.997389</v>
      </c>
      <c r="E203" s="14" t="n">
        <v>96</v>
      </c>
      <c r="F203" s="10" t="n">
        <f aca="false">E203/'Correction factors'!$B$10</f>
        <v>7.7424</v>
      </c>
      <c r="G203" s="11" t="n">
        <v>365</v>
      </c>
    </row>
    <row r="204" customFormat="false" ht="15" hidden="false" customHeight="false" outlineLevel="0" collapsed="false">
      <c r="A204" s="10" t="n">
        <v>43.2162582874298</v>
      </c>
      <c r="B204" s="11" t="n">
        <v>200</v>
      </c>
      <c r="C204" s="12" t="n">
        <f aca="false">B204*'Correction factors'!$B$7</f>
        <v>967.8</v>
      </c>
      <c r="D204" s="13" t="n">
        <v>4.987567</v>
      </c>
      <c r="E204" s="14" t="n">
        <v>96</v>
      </c>
      <c r="F204" s="10" t="n">
        <f aca="false">E204/'Correction factors'!$B$10</f>
        <v>7.7424</v>
      </c>
      <c r="G204" s="11" t="n">
        <v>365</v>
      </c>
    </row>
    <row r="205" customFormat="false" ht="15" hidden="false" customHeight="false" outlineLevel="0" collapsed="false">
      <c r="A205" s="10" t="n">
        <v>43.6772587299347</v>
      </c>
      <c r="B205" s="11" t="n">
        <v>200</v>
      </c>
      <c r="C205" s="12" t="n">
        <f aca="false">B205*'Correction factors'!$B$7</f>
        <v>967.8</v>
      </c>
      <c r="D205" s="13" t="n">
        <v>4.997389</v>
      </c>
      <c r="E205" s="14" t="n">
        <v>96</v>
      </c>
      <c r="F205" s="10" t="n">
        <f aca="false">E205/'Correction factors'!$B$10</f>
        <v>7.7424</v>
      </c>
      <c r="G205" s="11" t="n">
        <v>366</v>
      </c>
    </row>
    <row r="206" customFormat="false" ht="15" hidden="false" customHeight="false" outlineLevel="0" collapsed="false">
      <c r="A206" s="10" t="n">
        <v>43.6772587299347</v>
      </c>
      <c r="B206" s="11" t="n">
        <v>200</v>
      </c>
      <c r="C206" s="12" t="n">
        <f aca="false">B206*'Correction factors'!$B$7</f>
        <v>967.8</v>
      </c>
      <c r="D206" s="13" t="n">
        <v>4.987567</v>
      </c>
      <c r="E206" s="14" t="n">
        <v>96</v>
      </c>
      <c r="F206" s="10" t="n">
        <f aca="false">E206/'Correction factors'!$B$10</f>
        <v>7.7424</v>
      </c>
      <c r="G206" s="11" t="n">
        <v>366</v>
      </c>
    </row>
    <row r="207" customFormat="false" ht="15" hidden="false" customHeight="false" outlineLevel="0" collapsed="false">
      <c r="A207" s="10" t="n">
        <v>43.6772587299347</v>
      </c>
      <c r="B207" s="11" t="n">
        <v>220</v>
      </c>
      <c r="C207" s="12" t="n">
        <f aca="false">B207*'Correction factors'!$B$7</f>
        <v>1064.58</v>
      </c>
      <c r="D207" s="13" t="n">
        <v>4.977746</v>
      </c>
      <c r="E207" s="14" t="n">
        <v>96</v>
      </c>
      <c r="F207" s="10" t="n">
        <f aca="false">E207/'Correction factors'!$B$10</f>
        <v>7.7424</v>
      </c>
      <c r="G207" s="11" t="n">
        <v>365</v>
      </c>
    </row>
    <row r="208" customFormat="false" ht="15" hidden="false" customHeight="false" outlineLevel="0" collapsed="false">
      <c r="A208" s="10" t="n">
        <v>44.1836490631104</v>
      </c>
      <c r="B208" s="11" t="n">
        <v>220</v>
      </c>
      <c r="C208" s="12" t="n">
        <f aca="false">B208*'Correction factors'!$B$7</f>
        <v>1064.58</v>
      </c>
      <c r="D208" s="13" t="n">
        <v>4.977746</v>
      </c>
      <c r="E208" s="14" t="n">
        <v>96</v>
      </c>
      <c r="F208" s="10" t="n">
        <f aca="false">E208/'Correction factors'!$B$10</f>
        <v>7.7424</v>
      </c>
      <c r="G208" s="11" t="n">
        <v>365</v>
      </c>
    </row>
    <row r="209" customFormat="false" ht="15" hidden="false" customHeight="false" outlineLevel="0" collapsed="false">
      <c r="A209" s="10" t="n">
        <v>44.1836490631104</v>
      </c>
      <c r="B209" s="11" t="n">
        <v>200</v>
      </c>
      <c r="C209" s="12" t="n">
        <f aca="false">B209*'Correction factors'!$B$7</f>
        <v>967.8</v>
      </c>
      <c r="D209" s="13" t="n">
        <v>4.967924</v>
      </c>
      <c r="E209" s="14" t="n">
        <v>96</v>
      </c>
      <c r="F209" s="10" t="n">
        <f aca="false">E209/'Correction factors'!$B$10</f>
        <v>7.7424</v>
      </c>
      <c r="G209" s="11" t="n">
        <v>365</v>
      </c>
    </row>
    <row r="210" customFormat="false" ht="15" hidden="false" customHeight="false" outlineLevel="0" collapsed="false">
      <c r="A210" s="10" t="n">
        <v>44.6376619338989</v>
      </c>
      <c r="B210" s="11" t="n">
        <v>200</v>
      </c>
      <c r="C210" s="12" t="n">
        <f aca="false">B210*'Correction factors'!$B$7</f>
        <v>967.8</v>
      </c>
      <c r="D210" s="13" t="n">
        <v>4.967924</v>
      </c>
      <c r="E210" s="14" t="n">
        <v>96</v>
      </c>
      <c r="F210" s="10" t="n">
        <f aca="false">E210/'Correction factors'!$B$10</f>
        <v>7.7424</v>
      </c>
      <c r="G210" s="11" t="n">
        <v>366</v>
      </c>
    </row>
    <row r="211" customFormat="false" ht="15" hidden="false" customHeight="false" outlineLevel="0" collapsed="false">
      <c r="A211" s="10" t="n">
        <v>44.6376619338989</v>
      </c>
      <c r="B211" s="11" t="n">
        <v>220</v>
      </c>
      <c r="C211" s="12" t="n">
        <f aca="false">B211*'Correction factors'!$B$7</f>
        <v>1064.58</v>
      </c>
      <c r="D211" s="13" t="n">
        <v>4.967924</v>
      </c>
      <c r="E211" s="14" t="n">
        <v>88</v>
      </c>
      <c r="F211" s="10" t="n">
        <f aca="false">E211/'Correction factors'!$B$10</f>
        <v>7.0972</v>
      </c>
      <c r="G211" s="11" t="n">
        <v>366</v>
      </c>
    </row>
    <row r="212" customFormat="false" ht="15" hidden="false" customHeight="false" outlineLevel="0" collapsed="false">
      <c r="A212" s="10" t="n">
        <v>45.1106929779053</v>
      </c>
      <c r="B212" s="11" t="n">
        <v>220</v>
      </c>
      <c r="C212" s="12" t="n">
        <f aca="false">B212*'Correction factors'!$B$7</f>
        <v>1064.58</v>
      </c>
      <c r="D212" s="13" t="n">
        <v>4.948281</v>
      </c>
      <c r="E212" s="14" t="n">
        <v>96</v>
      </c>
      <c r="F212" s="10" t="n">
        <f aca="false">E212/'Correction factors'!$B$10</f>
        <v>7.7424</v>
      </c>
      <c r="G212" s="11" t="n">
        <v>365</v>
      </c>
    </row>
    <row r="213" customFormat="false" ht="15" hidden="false" customHeight="false" outlineLevel="0" collapsed="false">
      <c r="A213" s="10" t="n">
        <v>45.1106929779053</v>
      </c>
      <c r="B213" s="11" t="n">
        <v>200</v>
      </c>
      <c r="C213" s="12" t="n">
        <f aca="false">B213*'Correction factors'!$B$7</f>
        <v>967.8</v>
      </c>
      <c r="D213" s="13" t="n">
        <v>4.948281</v>
      </c>
      <c r="E213" s="14" t="n">
        <v>96</v>
      </c>
      <c r="F213" s="10" t="n">
        <f aca="false">E213/'Correction factors'!$B$10</f>
        <v>7.7424</v>
      </c>
      <c r="G213" s="11" t="n">
        <v>365</v>
      </c>
    </row>
    <row r="214" customFormat="false" ht="15" hidden="false" customHeight="false" outlineLevel="0" collapsed="false">
      <c r="A214" s="10" t="n">
        <v>45.1106929779053</v>
      </c>
      <c r="B214" s="11" t="n">
        <v>200</v>
      </c>
      <c r="C214" s="12" t="n">
        <f aca="false">B214*'Correction factors'!$B$7</f>
        <v>967.8</v>
      </c>
      <c r="D214" s="13" t="n">
        <v>4.948281</v>
      </c>
      <c r="E214" s="14" t="n">
        <v>96</v>
      </c>
      <c r="F214" s="10" t="n">
        <f aca="false">E214/'Correction factors'!$B$10</f>
        <v>7.7424</v>
      </c>
      <c r="G214" s="11" t="n">
        <v>365</v>
      </c>
    </row>
    <row r="215" customFormat="false" ht="15" hidden="false" customHeight="false" outlineLevel="0" collapsed="false">
      <c r="A215" s="10" t="n">
        <v>45.5758965015411</v>
      </c>
      <c r="B215" s="11" t="n">
        <v>200</v>
      </c>
      <c r="C215" s="12" t="n">
        <f aca="false">B215*'Correction factors'!$B$7</f>
        <v>967.8</v>
      </c>
      <c r="D215" s="13" t="n">
        <v>4.938459</v>
      </c>
      <c r="E215" s="14" t="n">
        <v>96</v>
      </c>
      <c r="F215" s="10" t="n">
        <f aca="false">E215/'Correction factors'!$B$10</f>
        <v>7.7424</v>
      </c>
      <c r="G215" s="11" t="n">
        <v>366</v>
      </c>
    </row>
    <row r="216" customFormat="false" ht="15" hidden="false" customHeight="false" outlineLevel="0" collapsed="false">
      <c r="A216" s="10" t="n">
        <v>45.5758965015411</v>
      </c>
      <c r="B216" s="11" t="n">
        <v>200</v>
      </c>
      <c r="C216" s="12" t="n">
        <f aca="false">B216*'Correction factors'!$B$7</f>
        <v>967.8</v>
      </c>
      <c r="D216" s="13" t="n">
        <v>4.918817</v>
      </c>
      <c r="E216" s="14" t="n">
        <v>96</v>
      </c>
      <c r="F216" s="10" t="n">
        <f aca="false">E216/'Correction factors'!$B$10</f>
        <v>7.7424</v>
      </c>
      <c r="G216" s="11" t="n">
        <v>366</v>
      </c>
    </row>
    <row r="217" customFormat="false" ht="15" hidden="false" customHeight="false" outlineLevel="0" collapsed="false">
      <c r="A217" s="10" t="n">
        <v>45.9958198070526</v>
      </c>
      <c r="B217" s="11" t="n">
        <v>220</v>
      </c>
      <c r="C217" s="12" t="n">
        <f aca="false">B217*'Correction factors'!$B$7</f>
        <v>1064.58</v>
      </c>
      <c r="D217" s="13" t="n">
        <v>4.918817</v>
      </c>
      <c r="E217" s="14" t="n">
        <v>96</v>
      </c>
      <c r="F217" s="10" t="n">
        <f aca="false">E217/'Correction factors'!$B$10</f>
        <v>7.7424</v>
      </c>
      <c r="G217" s="11" t="n">
        <v>366</v>
      </c>
    </row>
    <row r="218" customFormat="false" ht="15" hidden="false" customHeight="false" outlineLevel="0" collapsed="false">
      <c r="A218" s="10" t="n">
        <v>45.9958198070526</v>
      </c>
      <c r="B218" s="11" t="n">
        <v>220</v>
      </c>
      <c r="C218" s="12" t="n">
        <f aca="false">B218*'Correction factors'!$B$7</f>
        <v>1064.58</v>
      </c>
      <c r="D218" s="13" t="n">
        <v>4.908995</v>
      </c>
      <c r="E218" s="14" t="n">
        <v>96</v>
      </c>
      <c r="F218" s="10" t="n">
        <f aca="false">E218/'Correction factors'!$B$10</f>
        <v>7.7424</v>
      </c>
      <c r="G218" s="11" t="n">
        <v>366</v>
      </c>
    </row>
    <row r="219" customFormat="false" ht="15" hidden="false" customHeight="false" outlineLevel="0" collapsed="false">
      <c r="A219" s="10" t="n">
        <v>46.4258494377136</v>
      </c>
      <c r="B219" s="11" t="n">
        <v>220</v>
      </c>
      <c r="C219" s="12" t="n">
        <f aca="false">B219*'Correction factors'!$B$7</f>
        <v>1064.58</v>
      </c>
      <c r="D219" s="13" t="n">
        <v>4.908995</v>
      </c>
      <c r="E219" s="14" t="n">
        <v>96</v>
      </c>
      <c r="F219" s="10" t="n">
        <f aca="false">E219/'Correction factors'!$B$10</f>
        <v>7.7424</v>
      </c>
      <c r="G219" s="11" t="n">
        <v>365</v>
      </c>
    </row>
    <row r="220" customFormat="false" ht="15" hidden="false" customHeight="false" outlineLevel="0" collapsed="false">
      <c r="A220" s="10" t="n">
        <v>46.4258494377136</v>
      </c>
      <c r="B220" s="11" t="n">
        <v>200</v>
      </c>
      <c r="C220" s="12" t="n">
        <f aca="false">B220*'Correction factors'!$B$7</f>
        <v>967.8</v>
      </c>
      <c r="D220" s="13" t="n">
        <v>4.908995</v>
      </c>
      <c r="E220" s="14" t="n">
        <v>96</v>
      </c>
      <c r="F220" s="10" t="n">
        <f aca="false">E220/'Correction factors'!$B$10</f>
        <v>7.7424</v>
      </c>
      <c r="G220" s="11" t="n">
        <v>366</v>
      </c>
    </row>
    <row r="221" customFormat="false" ht="15" hidden="false" customHeight="false" outlineLevel="0" collapsed="false">
      <c r="A221" s="10" t="n">
        <v>46.854745388031</v>
      </c>
      <c r="B221" s="11" t="n">
        <v>200</v>
      </c>
      <c r="C221" s="12" t="n">
        <f aca="false">B221*'Correction factors'!$B$7</f>
        <v>967.8</v>
      </c>
      <c r="D221" s="13" t="n">
        <v>4.899173</v>
      </c>
      <c r="E221" s="14" t="n">
        <v>96</v>
      </c>
      <c r="F221" s="10" t="n">
        <f aca="false">E221/'Correction factors'!$B$10</f>
        <v>7.7424</v>
      </c>
      <c r="G221" s="11" t="n">
        <v>367</v>
      </c>
    </row>
    <row r="222" customFormat="false" ht="15" hidden="false" customHeight="false" outlineLevel="0" collapsed="false">
      <c r="A222" s="10" t="n">
        <v>46.854745388031</v>
      </c>
      <c r="B222" s="11" t="n">
        <v>200</v>
      </c>
      <c r="C222" s="12" t="n">
        <f aca="false">B222*'Correction factors'!$B$7</f>
        <v>967.8</v>
      </c>
      <c r="D222" s="13" t="n">
        <v>4.889352</v>
      </c>
      <c r="E222" s="14" t="n">
        <v>96</v>
      </c>
      <c r="F222" s="10" t="n">
        <f aca="false">E222/'Correction factors'!$B$10</f>
        <v>7.7424</v>
      </c>
      <c r="G222" s="11" t="n">
        <v>367</v>
      </c>
    </row>
    <row r="223" customFormat="false" ht="15" hidden="false" customHeight="false" outlineLevel="0" collapsed="false">
      <c r="A223" s="10" t="n">
        <v>47.281364440918</v>
      </c>
      <c r="B223" s="11" t="n">
        <v>200</v>
      </c>
      <c r="C223" s="12" t="n">
        <f aca="false">B223*'Correction factors'!$B$7</f>
        <v>967.8</v>
      </c>
      <c r="D223" s="13" t="n">
        <v>4.889352</v>
      </c>
      <c r="E223" s="14" t="n">
        <v>96</v>
      </c>
      <c r="F223" s="10" t="n">
        <f aca="false">E223/'Correction factors'!$B$10</f>
        <v>7.7424</v>
      </c>
      <c r="G223" s="11" t="n">
        <v>367</v>
      </c>
    </row>
    <row r="224" customFormat="false" ht="15" hidden="false" customHeight="false" outlineLevel="0" collapsed="false">
      <c r="A224" s="10" t="n">
        <v>47.281364440918</v>
      </c>
      <c r="B224" s="11" t="n">
        <v>220</v>
      </c>
      <c r="C224" s="12" t="n">
        <f aca="false">B224*'Correction factors'!$B$7</f>
        <v>1064.58</v>
      </c>
      <c r="D224" s="13" t="n">
        <v>4.87953</v>
      </c>
      <c r="E224" s="14" t="n">
        <v>96</v>
      </c>
      <c r="F224" s="10" t="n">
        <f aca="false">E224/'Correction factors'!$B$10</f>
        <v>7.7424</v>
      </c>
      <c r="G224" s="11" t="n">
        <v>366</v>
      </c>
    </row>
    <row r="225" customFormat="false" ht="15" hidden="false" customHeight="false" outlineLevel="0" collapsed="false">
      <c r="A225" s="10" t="n">
        <v>47.75226354599</v>
      </c>
      <c r="B225" s="11" t="n">
        <v>200</v>
      </c>
      <c r="C225" s="12" t="n">
        <f aca="false">B225*'Correction factors'!$B$7</f>
        <v>967.8</v>
      </c>
      <c r="D225" s="13" t="n">
        <v>4.87953</v>
      </c>
      <c r="E225" s="14" t="n">
        <v>96</v>
      </c>
      <c r="F225" s="10" t="n">
        <f aca="false">E225/'Correction factors'!$B$10</f>
        <v>7.7424</v>
      </c>
      <c r="G225" s="11" t="n">
        <v>366</v>
      </c>
    </row>
    <row r="226" customFormat="false" ht="15" hidden="false" customHeight="false" outlineLevel="0" collapsed="false">
      <c r="A226" s="10" t="n">
        <v>47.75226354599</v>
      </c>
      <c r="B226" s="11" t="n">
        <v>200</v>
      </c>
      <c r="C226" s="12" t="n">
        <f aca="false">B226*'Correction factors'!$B$7</f>
        <v>967.8</v>
      </c>
      <c r="D226" s="13" t="n">
        <v>4.869708</v>
      </c>
      <c r="E226" s="14" t="n">
        <v>96</v>
      </c>
      <c r="F226" s="10" t="n">
        <f aca="false">E226/'Correction factors'!$B$10</f>
        <v>7.7424</v>
      </c>
      <c r="G226" s="11" t="n">
        <v>367</v>
      </c>
    </row>
    <row r="227" customFormat="false" ht="15" hidden="false" customHeight="false" outlineLevel="0" collapsed="false">
      <c r="A227" s="10" t="n">
        <v>48.1677236557007</v>
      </c>
      <c r="B227" s="11" t="n">
        <v>200</v>
      </c>
      <c r="C227" s="12" t="n">
        <f aca="false">B227*'Correction factors'!$B$7</f>
        <v>967.8</v>
      </c>
      <c r="D227" s="13" t="n">
        <v>4.859887</v>
      </c>
      <c r="E227" s="14" t="n">
        <v>96</v>
      </c>
      <c r="F227" s="10" t="n">
        <f aca="false">E227/'Correction factors'!$B$10</f>
        <v>7.7424</v>
      </c>
      <c r="G227" s="11" t="n">
        <v>367</v>
      </c>
    </row>
    <row r="228" customFormat="false" ht="15" hidden="false" customHeight="false" outlineLevel="0" collapsed="false">
      <c r="A228" s="10" t="n">
        <v>48.1677236557007</v>
      </c>
      <c r="B228" s="11" t="n">
        <v>200</v>
      </c>
      <c r="C228" s="12" t="n">
        <f aca="false">B228*'Correction factors'!$B$7</f>
        <v>967.8</v>
      </c>
      <c r="D228" s="13" t="n">
        <v>4.859887</v>
      </c>
      <c r="E228" s="14" t="n">
        <v>96</v>
      </c>
      <c r="F228" s="10" t="n">
        <f aca="false">E228/'Correction factors'!$B$10</f>
        <v>7.7424</v>
      </c>
      <c r="G228" s="11" t="n">
        <v>367</v>
      </c>
    </row>
    <row r="229" customFormat="false" ht="15" hidden="false" customHeight="false" outlineLevel="0" collapsed="false">
      <c r="A229" s="10" t="n">
        <v>48.5856995582581</v>
      </c>
      <c r="B229" s="11" t="n">
        <v>200</v>
      </c>
      <c r="C229" s="12" t="n">
        <f aca="false">B229*'Correction factors'!$B$7</f>
        <v>967.8</v>
      </c>
      <c r="D229" s="13" t="n">
        <v>4.850065</v>
      </c>
      <c r="E229" s="14" t="n">
        <v>96</v>
      </c>
      <c r="F229" s="10" t="n">
        <f aca="false">E229/'Correction factors'!$B$10</f>
        <v>7.7424</v>
      </c>
      <c r="G229" s="11" t="n">
        <v>367</v>
      </c>
    </row>
    <row r="230" customFormat="false" ht="15" hidden="false" customHeight="false" outlineLevel="0" collapsed="false">
      <c r="A230" s="10" t="n">
        <v>48.5856995582581</v>
      </c>
      <c r="B230" s="11" t="n">
        <v>220</v>
      </c>
      <c r="C230" s="12" t="n">
        <f aca="false">B230*'Correction factors'!$B$7</f>
        <v>1064.58</v>
      </c>
      <c r="D230" s="13" t="n">
        <v>4.850065</v>
      </c>
      <c r="E230" s="14" t="n">
        <v>96</v>
      </c>
      <c r="F230" s="10" t="n">
        <f aca="false">E230/'Correction factors'!$B$10</f>
        <v>7.7424</v>
      </c>
      <c r="G230" s="11" t="n">
        <v>367</v>
      </c>
    </row>
    <row r="231" customFormat="false" ht="15" hidden="false" customHeight="false" outlineLevel="0" collapsed="false">
      <c r="A231" s="10" t="n">
        <v>49.0077660083771</v>
      </c>
      <c r="B231" s="11" t="n">
        <v>200</v>
      </c>
      <c r="C231" s="12" t="n">
        <f aca="false">B231*'Correction factors'!$B$7</f>
        <v>967.8</v>
      </c>
      <c r="D231" s="13" t="n">
        <v>4.840244</v>
      </c>
      <c r="E231" s="14" t="n">
        <v>96</v>
      </c>
      <c r="F231" s="10" t="n">
        <f aca="false">E231/'Correction factors'!$B$10</f>
        <v>7.7424</v>
      </c>
      <c r="G231" s="11" t="n">
        <v>367</v>
      </c>
    </row>
    <row r="232" customFormat="false" ht="15" hidden="false" customHeight="false" outlineLevel="0" collapsed="false">
      <c r="A232" s="10" t="n">
        <v>49.0077660083771</v>
      </c>
      <c r="B232" s="11" t="n">
        <v>220</v>
      </c>
      <c r="C232" s="12" t="n">
        <f aca="false">B232*'Correction factors'!$B$7</f>
        <v>1064.58</v>
      </c>
      <c r="D232" s="13" t="n">
        <v>4.830422</v>
      </c>
      <c r="E232" s="14" t="n">
        <v>96</v>
      </c>
      <c r="F232" s="10" t="n">
        <f aca="false">E232/'Correction factors'!$B$10</f>
        <v>7.7424</v>
      </c>
      <c r="G232" s="11" t="n">
        <v>367</v>
      </c>
    </row>
    <row r="233" customFormat="false" ht="15" hidden="false" customHeight="false" outlineLevel="0" collapsed="false">
      <c r="A233" s="10" t="n">
        <v>49.4312040805817</v>
      </c>
      <c r="B233" s="11" t="n">
        <v>200</v>
      </c>
      <c r="C233" s="12" t="n">
        <f aca="false">B233*'Correction factors'!$B$7</f>
        <v>967.8</v>
      </c>
      <c r="D233" s="13" t="n">
        <v>4.830422</v>
      </c>
      <c r="E233" s="14" t="n">
        <v>96</v>
      </c>
      <c r="F233" s="10" t="n">
        <f aca="false">E233/'Correction factors'!$B$10</f>
        <v>7.7424</v>
      </c>
      <c r="G233" s="11" t="n">
        <v>367</v>
      </c>
    </row>
    <row r="234" customFormat="false" ht="15" hidden="false" customHeight="false" outlineLevel="0" collapsed="false">
      <c r="A234" s="10" t="n">
        <v>49.4312040805817</v>
      </c>
      <c r="B234" s="11" t="n">
        <v>200</v>
      </c>
      <c r="C234" s="12" t="n">
        <f aca="false">B234*'Correction factors'!$B$7</f>
        <v>967.8</v>
      </c>
      <c r="D234" s="13" t="n">
        <v>4.820601</v>
      </c>
      <c r="E234" s="14" t="n">
        <v>104</v>
      </c>
      <c r="F234" s="10" t="n">
        <f aca="false">E234/'Correction factors'!$B$10</f>
        <v>8.3876</v>
      </c>
      <c r="G234" s="11" t="n">
        <v>367</v>
      </c>
    </row>
    <row r="235" customFormat="false" ht="15" hidden="false" customHeight="false" outlineLevel="0" collapsed="false">
      <c r="A235" s="10" t="n">
        <v>49.8487372398377</v>
      </c>
      <c r="B235" s="11" t="n">
        <v>220</v>
      </c>
      <c r="C235" s="12" t="n">
        <f aca="false">B235*'Correction factors'!$B$7</f>
        <v>1064.58</v>
      </c>
      <c r="D235" s="13" t="n">
        <v>4.810779</v>
      </c>
      <c r="E235" s="14" t="n">
        <v>96</v>
      </c>
      <c r="F235" s="10" t="n">
        <f aca="false">E235/'Correction factors'!$B$10</f>
        <v>7.7424</v>
      </c>
      <c r="G235" s="11" t="n">
        <v>367</v>
      </c>
    </row>
    <row r="236" customFormat="false" ht="15" hidden="false" customHeight="false" outlineLevel="0" collapsed="false">
      <c r="A236" s="10" t="n">
        <v>49.8487372398377</v>
      </c>
      <c r="B236" s="11" t="n">
        <v>200</v>
      </c>
      <c r="C236" s="12" t="n">
        <f aca="false">B236*'Correction factors'!$B$7</f>
        <v>967.8</v>
      </c>
      <c r="D236" s="13" t="n">
        <v>4.800957</v>
      </c>
      <c r="E236" s="14" t="n">
        <v>96</v>
      </c>
      <c r="F236" s="10" t="n">
        <f aca="false">E236/'Correction factors'!$B$10</f>
        <v>7.7424</v>
      </c>
      <c r="G236" s="11" t="n">
        <v>368</v>
      </c>
    </row>
    <row r="237" customFormat="false" ht="15" hidden="false" customHeight="false" outlineLevel="0" collapsed="false">
      <c r="A237" s="10" t="n">
        <v>50.2750999927521</v>
      </c>
      <c r="B237" s="11" t="n">
        <v>200</v>
      </c>
      <c r="C237" s="12" t="n">
        <f aca="false">B237*'Correction factors'!$B$7</f>
        <v>967.8</v>
      </c>
      <c r="D237" s="13" t="n">
        <v>4.800957</v>
      </c>
      <c r="E237" s="14" t="n">
        <v>96</v>
      </c>
      <c r="F237" s="10" t="n">
        <f aca="false">E237/'Correction factors'!$B$10</f>
        <v>7.7424</v>
      </c>
      <c r="G237" s="11" t="n">
        <v>368</v>
      </c>
    </row>
    <row r="238" customFormat="false" ht="15" hidden="false" customHeight="false" outlineLevel="0" collapsed="false">
      <c r="A238" s="10" t="n">
        <v>50.2750999927521</v>
      </c>
      <c r="B238" s="11" t="n">
        <v>200</v>
      </c>
      <c r="C238" s="12" t="n">
        <f aca="false">B238*'Correction factors'!$B$7</f>
        <v>967.8</v>
      </c>
      <c r="D238" s="13" t="n">
        <v>4.791136</v>
      </c>
      <c r="E238" s="14" t="n">
        <v>104</v>
      </c>
      <c r="F238" s="10" t="n">
        <f aca="false">E238/'Correction factors'!$B$10</f>
        <v>8.3876</v>
      </c>
      <c r="G238" s="11" t="n">
        <v>368</v>
      </c>
    </row>
    <row r="239" customFormat="false" ht="15" hidden="false" customHeight="false" outlineLevel="0" collapsed="false">
      <c r="A239" s="10" t="n">
        <v>50.2750999927521</v>
      </c>
      <c r="B239" s="11" t="n">
        <v>220</v>
      </c>
      <c r="C239" s="12" t="n">
        <f aca="false">B239*'Correction factors'!$B$7</f>
        <v>1064.58</v>
      </c>
      <c r="D239" s="13" t="n">
        <v>4.771492</v>
      </c>
      <c r="E239" s="14" t="n">
        <v>96</v>
      </c>
      <c r="F239" s="10" t="n">
        <f aca="false">E239/'Correction factors'!$B$10</f>
        <v>7.7424</v>
      </c>
      <c r="G239" s="11" t="n">
        <v>368</v>
      </c>
    </row>
    <row r="240" customFormat="false" ht="15" hidden="false" customHeight="false" outlineLevel="0" collapsed="false">
      <c r="A240" s="10" t="n">
        <v>50.7824060916901</v>
      </c>
      <c r="B240" s="11" t="n">
        <v>220</v>
      </c>
      <c r="C240" s="12" t="n">
        <f aca="false">B240*'Correction factors'!$B$7</f>
        <v>1064.58</v>
      </c>
      <c r="D240" s="13" t="n">
        <v>4.771492</v>
      </c>
      <c r="E240" s="14" t="n">
        <v>104</v>
      </c>
      <c r="F240" s="10" t="n">
        <f aca="false">E240/'Correction factors'!$B$10</f>
        <v>8.3876</v>
      </c>
      <c r="G240" s="11" t="n">
        <v>366</v>
      </c>
    </row>
    <row r="241" customFormat="false" ht="15" hidden="false" customHeight="false" outlineLevel="0" collapsed="false">
      <c r="A241" s="10" t="n">
        <v>50.7824060916901</v>
      </c>
      <c r="B241" s="11" t="n">
        <v>220</v>
      </c>
      <c r="C241" s="12" t="n">
        <f aca="false">B241*'Correction factors'!$B$7</f>
        <v>1064.58</v>
      </c>
      <c r="D241" s="13" t="n">
        <v>4.751849</v>
      </c>
      <c r="E241" s="14" t="n">
        <v>96</v>
      </c>
      <c r="F241" s="10" t="n">
        <f aca="false">E241/'Correction factors'!$B$10</f>
        <v>7.7424</v>
      </c>
      <c r="G241" s="11" t="n">
        <v>366</v>
      </c>
    </row>
    <row r="242" customFormat="false" ht="15" hidden="false" customHeight="false" outlineLevel="0" collapsed="false">
      <c r="A242" s="10" t="n">
        <v>51.2243630886078</v>
      </c>
      <c r="B242" s="11" t="n">
        <v>220</v>
      </c>
      <c r="C242" s="12" t="n">
        <f aca="false">B242*'Correction factors'!$B$7</f>
        <v>1064.58</v>
      </c>
      <c r="D242" s="13" t="n">
        <v>4.751849</v>
      </c>
      <c r="E242" s="14" t="n">
        <v>96</v>
      </c>
      <c r="F242" s="10" t="n">
        <f aca="false">E242/'Correction factors'!$B$10</f>
        <v>7.7424</v>
      </c>
      <c r="G242" s="11" t="n">
        <v>366</v>
      </c>
    </row>
    <row r="243" customFormat="false" ht="15" hidden="false" customHeight="false" outlineLevel="0" collapsed="false">
      <c r="A243" s="10" t="n">
        <v>51.2243630886078</v>
      </c>
      <c r="B243" s="11" t="n">
        <v>200</v>
      </c>
      <c r="C243" s="12" t="n">
        <f aca="false">B243*'Correction factors'!$B$7</f>
        <v>967.8</v>
      </c>
      <c r="D243" s="13" t="n">
        <v>4.742028</v>
      </c>
      <c r="E243" s="14" t="n">
        <v>104</v>
      </c>
      <c r="F243" s="10" t="n">
        <f aca="false">E243/'Correction factors'!$B$10</f>
        <v>8.3876</v>
      </c>
      <c r="G243" s="11" t="n">
        <v>366</v>
      </c>
    </row>
    <row r="244" customFormat="false" ht="15" hidden="false" customHeight="false" outlineLevel="0" collapsed="false">
      <c r="A244" s="10" t="n">
        <v>51.655017375946</v>
      </c>
      <c r="B244" s="11" t="n">
        <v>200</v>
      </c>
      <c r="C244" s="12" t="n">
        <f aca="false">B244*'Correction factors'!$B$7</f>
        <v>967.8</v>
      </c>
      <c r="D244" s="13" t="n">
        <v>4.732206</v>
      </c>
      <c r="E244" s="14" t="n">
        <v>96</v>
      </c>
      <c r="F244" s="10" t="n">
        <f aca="false">E244/'Correction factors'!$B$10</f>
        <v>7.7424</v>
      </c>
      <c r="G244" s="11" t="n">
        <v>368</v>
      </c>
    </row>
    <row r="245" customFormat="false" ht="15" hidden="false" customHeight="false" outlineLevel="0" collapsed="false">
      <c r="A245" s="10" t="n">
        <v>51.655017375946</v>
      </c>
      <c r="B245" s="11" t="n">
        <v>220</v>
      </c>
      <c r="C245" s="12" t="n">
        <f aca="false">B245*'Correction factors'!$B$7</f>
        <v>1064.58</v>
      </c>
      <c r="D245" s="13" t="n">
        <v>4.732206</v>
      </c>
      <c r="E245" s="14" t="n">
        <v>104</v>
      </c>
      <c r="F245" s="10" t="n">
        <f aca="false">E245/'Correction factors'!$B$10</f>
        <v>8.3876</v>
      </c>
      <c r="G245" s="11" t="n">
        <v>368</v>
      </c>
    </row>
    <row r="246" customFormat="false" ht="15" hidden="false" customHeight="false" outlineLevel="0" collapsed="false">
      <c r="A246" s="10" t="n">
        <v>52.0910971164703</v>
      </c>
      <c r="B246" s="11" t="n">
        <v>220</v>
      </c>
      <c r="C246" s="12" t="n">
        <f aca="false">B246*'Correction factors'!$B$7</f>
        <v>1064.58</v>
      </c>
      <c r="D246" s="13" t="n">
        <v>4.732206</v>
      </c>
      <c r="E246" s="14" t="n">
        <v>96</v>
      </c>
      <c r="F246" s="10" t="n">
        <f aca="false">E246/'Correction factors'!$B$10</f>
        <v>7.7424</v>
      </c>
      <c r="G246" s="11" t="n">
        <v>366</v>
      </c>
    </row>
    <row r="247" customFormat="false" ht="15" hidden="false" customHeight="false" outlineLevel="0" collapsed="false">
      <c r="A247" s="10" t="n">
        <v>52.0910971164703</v>
      </c>
      <c r="B247" s="11" t="n">
        <v>220</v>
      </c>
      <c r="C247" s="12" t="n">
        <f aca="false">B247*'Correction factors'!$B$7</f>
        <v>1064.58</v>
      </c>
      <c r="D247" s="13" t="n">
        <v>4.712563</v>
      </c>
      <c r="E247" s="14" t="n">
        <v>104</v>
      </c>
      <c r="F247" s="10" t="n">
        <f aca="false">E247/'Correction factors'!$B$10</f>
        <v>8.3876</v>
      </c>
      <c r="G247" s="11" t="n">
        <v>366</v>
      </c>
    </row>
    <row r="248" customFormat="false" ht="15" hidden="false" customHeight="false" outlineLevel="0" collapsed="false">
      <c r="A248" s="10" t="n">
        <v>52.5542316436768</v>
      </c>
      <c r="B248" s="11" t="n">
        <v>220</v>
      </c>
      <c r="C248" s="12" t="n">
        <f aca="false">B248*'Correction factors'!$B$7</f>
        <v>1064.58</v>
      </c>
      <c r="D248" s="13" t="n">
        <v>4.712563</v>
      </c>
      <c r="E248" s="14" t="n">
        <v>96</v>
      </c>
      <c r="F248" s="10" t="n">
        <f aca="false">E248/'Correction factors'!$B$10</f>
        <v>7.7424</v>
      </c>
      <c r="G248" s="11" t="n">
        <v>366</v>
      </c>
    </row>
    <row r="249" customFormat="false" ht="15" hidden="false" customHeight="false" outlineLevel="0" collapsed="false">
      <c r="A249" s="10" t="n">
        <v>52.5542316436768</v>
      </c>
      <c r="B249" s="11" t="n">
        <v>200</v>
      </c>
      <c r="C249" s="12" t="n">
        <f aca="false">B249*'Correction factors'!$B$7</f>
        <v>967.8</v>
      </c>
      <c r="D249" s="13" t="n">
        <v>4.702741</v>
      </c>
      <c r="E249" s="14" t="n">
        <v>104</v>
      </c>
      <c r="F249" s="10" t="n">
        <f aca="false">E249/'Correction factors'!$B$10</f>
        <v>8.3876</v>
      </c>
      <c r="G249" s="11" t="n">
        <v>366</v>
      </c>
    </row>
    <row r="250" customFormat="false" ht="15" hidden="false" customHeight="false" outlineLevel="0" collapsed="false">
      <c r="A250" s="10" t="n">
        <v>52.9919850826263</v>
      </c>
      <c r="B250" s="11" t="n">
        <v>200</v>
      </c>
      <c r="C250" s="12" t="n">
        <f aca="false">B250*'Correction factors'!$B$7</f>
        <v>967.8</v>
      </c>
      <c r="D250" s="13" t="n">
        <v>4.712563</v>
      </c>
      <c r="E250" s="14" t="n">
        <v>96</v>
      </c>
      <c r="F250" s="10" t="n">
        <f aca="false">E250/'Correction factors'!$B$10</f>
        <v>7.7424</v>
      </c>
      <c r="G250" s="11" t="n">
        <v>367</v>
      </c>
    </row>
    <row r="251" customFormat="false" ht="15" hidden="false" customHeight="false" outlineLevel="0" collapsed="false">
      <c r="A251" s="10" t="n">
        <v>52.9919850826263</v>
      </c>
      <c r="B251" s="11" t="n">
        <v>220</v>
      </c>
      <c r="C251" s="12" t="n">
        <f aca="false">B251*'Correction factors'!$B$7</f>
        <v>1064.58</v>
      </c>
      <c r="D251" s="13" t="n">
        <v>4.702741</v>
      </c>
      <c r="E251" s="14" t="n">
        <v>104</v>
      </c>
      <c r="F251" s="10" t="n">
        <f aca="false">E251/'Correction factors'!$B$10</f>
        <v>8.3876</v>
      </c>
      <c r="G251" s="11" t="n">
        <v>367</v>
      </c>
    </row>
    <row r="252" customFormat="false" ht="15" hidden="false" customHeight="false" outlineLevel="0" collapsed="false">
      <c r="A252" s="10" t="n">
        <v>52.9919850826263</v>
      </c>
      <c r="B252" s="11" t="n">
        <v>220</v>
      </c>
      <c r="C252" s="12" t="n">
        <f aca="false">B252*'Correction factors'!$B$7</f>
        <v>1064.58</v>
      </c>
      <c r="D252" s="13" t="n">
        <v>4.683098</v>
      </c>
      <c r="E252" s="14" t="n">
        <v>96</v>
      </c>
      <c r="F252" s="10" t="n">
        <f aca="false">E252/'Correction factors'!$B$10</f>
        <v>7.7424</v>
      </c>
      <c r="G252" s="11" t="n">
        <v>367</v>
      </c>
    </row>
    <row r="253" customFormat="false" ht="15" hidden="false" customHeight="false" outlineLevel="0" collapsed="false">
      <c r="A253" s="10" t="n">
        <v>53.4617102146149</v>
      </c>
      <c r="B253" s="11" t="n">
        <v>200</v>
      </c>
      <c r="C253" s="12" t="n">
        <f aca="false">B253*'Correction factors'!$B$7</f>
        <v>967.8</v>
      </c>
      <c r="D253" s="13" t="n">
        <v>4.69292</v>
      </c>
      <c r="E253" s="14" t="n">
        <v>96</v>
      </c>
      <c r="F253" s="10" t="n">
        <f aca="false">E253/'Correction factors'!$B$10</f>
        <v>7.7424</v>
      </c>
      <c r="G253" s="11" t="n">
        <v>367</v>
      </c>
    </row>
    <row r="254" customFormat="false" ht="15" hidden="false" customHeight="false" outlineLevel="0" collapsed="false">
      <c r="A254" s="10" t="n">
        <v>53.4617102146149</v>
      </c>
      <c r="B254" s="11" t="n">
        <v>200</v>
      </c>
      <c r="C254" s="12" t="n">
        <f aca="false">B254*'Correction factors'!$B$7</f>
        <v>967.8</v>
      </c>
      <c r="D254" s="13" t="n">
        <v>4.673276</v>
      </c>
      <c r="E254" s="14" t="n">
        <v>104</v>
      </c>
      <c r="F254" s="10" t="n">
        <f aca="false">E254/'Correction factors'!$B$10</f>
        <v>8.3876</v>
      </c>
      <c r="G254" s="11" t="n">
        <v>367</v>
      </c>
    </row>
    <row r="255" customFormat="false" ht="15" hidden="false" customHeight="false" outlineLevel="0" collapsed="false">
      <c r="A255" s="10" t="n">
        <v>53.895366191864</v>
      </c>
      <c r="B255" s="11" t="n">
        <v>200</v>
      </c>
      <c r="C255" s="12" t="n">
        <f aca="false">B255*'Correction factors'!$B$7</f>
        <v>967.8</v>
      </c>
      <c r="D255" s="13" t="n">
        <v>4.683098</v>
      </c>
      <c r="E255" s="14" t="n">
        <v>96</v>
      </c>
      <c r="F255" s="10" t="n">
        <f aca="false">E255/'Correction factors'!$B$10</f>
        <v>7.7424</v>
      </c>
      <c r="G255" s="11" t="n">
        <v>367</v>
      </c>
    </row>
    <row r="256" customFormat="false" ht="15" hidden="false" customHeight="false" outlineLevel="0" collapsed="false">
      <c r="A256" s="10" t="n">
        <v>53.895366191864</v>
      </c>
      <c r="B256" s="11" t="n">
        <v>200</v>
      </c>
      <c r="C256" s="12" t="n">
        <f aca="false">B256*'Correction factors'!$B$7</f>
        <v>967.8</v>
      </c>
      <c r="D256" s="13" t="n">
        <v>4.673276</v>
      </c>
      <c r="E256" s="14" t="n">
        <v>96</v>
      </c>
      <c r="F256" s="10" t="n">
        <f aca="false">E256/'Correction factors'!$B$10</f>
        <v>7.7424</v>
      </c>
      <c r="G256" s="11" t="n">
        <v>367</v>
      </c>
    </row>
    <row r="257" customFormat="false" ht="15" hidden="false" customHeight="false" outlineLevel="0" collapsed="false">
      <c r="A257" s="10" t="n">
        <v>54.326539516449</v>
      </c>
      <c r="B257" s="11" t="n">
        <v>220</v>
      </c>
      <c r="C257" s="12" t="n">
        <f aca="false">B257*'Correction factors'!$B$7</f>
        <v>1064.58</v>
      </c>
      <c r="D257" s="13" t="n">
        <v>4.653633</v>
      </c>
      <c r="E257" s="14" t="n">
        <v>104</v>
      </c>
      <c r="F257" s="10" t="n">
        <f aca="false">E257/'Correction factors'!$B$10</f>
        <v>8.3876</v>
      </c>
      <c r="G257" s="11" t="n">
        <v>368</v>
      </c>
    </row>
    <row r="258" customFormat="false" ht="15" hidden="false" customHeight="false" outlineLevel="0" collapsed="false">
      <c r="A258" s="10" t="n">
        <v>54.326539516449</v>
      </c>
      <c r="B258" s="11" t="n">
        <v>200</v>
      </c>
      <c r="C258" s="12" t="n">
        <f aca="false">B258*'Correction factors'!$B$7</f>
        <v>967.8</v>
      </c>
      <c r="D258" s="13" t="n">
        <v>4.653633</v>
      </c>
      <c r="E258" s="14" t="n">
        <v>96</v>
      </c>
      <c r="F258" s="10" t="n">
        <f aca="false">E258/'Correction factors'!$B$10</f>
        <v>7.7424</v>
      </c>
      <c r="G258" s="11" t="n">
        <v>368</v>
      </c>
    </row>
    <row r="259" customFormat="false" ht="15" hidden="false" customHeight="false" outlineLevel="0" collapsed="false">
      <c r="A259" s="10" t="n">
        <v>54.7586371898651</v>
      </c>
      <c r="B259" s="11" t="n">
        <v>200</v>
      </c>
      <c r="C259" s="12" t="n">
        <f aca="false">B259*'Correction factors'!$B$7</f>
        <v>967.8</v>
      </c>
      <c r="D259" s="13" t="n">
        <v>4.643812</v>
      </c>
      <c r="E259" s="14" t="n">
        <v>104</v>
      </c>
      <c r="F259" s="10" t="n">
        <f aca="false">E259/'Correction factors'!$B$10</f>
        <v>8.3876</v>
      </c>
      <c r="G259" s="11" t="n">
        <v>367</v>
      </c>
    </row>
    <row r="260" customFormat="false" ht="15" hidden="false" customHeight="false" outlineLevel="0" collapsed="false">
      <c r="A260" s="10" t="n">
        <v>54.7586371898651</v>
      </c>
      <c r="B260" s="11" t="n">
        <v>200</v>
      </c>
      <c r="C260" s="12" t="n">
        <f aca="false">B260*'Correction factors'!$B$7</f>
        <v>967.8</v>
      </c>
      <c r="D260" s="13" t="n">
        <v>4.643812</v>
      </c>
      <c r="E260" s="14" t="n">
        <v>96</v>
      </c>
      <c r="F260" s="10" t="n">
        <f aca="false">E260/'Correction factors'!$B$10</f>
        <v>7.7424</v>
      </c>
      <c r="G260" s="11" t="n">
        <v>370</v>
      </c>
    </row>
    <row r="261" customFormat="false" ht="15" hidden="false" customHeight="false" outlineLevel="0" collapsed="false">
      <c r="A261" s="10" t="n">
        <v>55.1950142383575</v>
      </c>
      <c r="B261" s="11" t="n">
        <v>200</v>
      </c>
      <c r="C261" s="12" t="n">
        <f aca="false">B261*'Correction factors'!$B$7</f>
        <v>967.8</v>
      </c>
      <c r="D261" s="13" t="n">
        <v>4.63399</v>
      </c>
      <c r="E261" s="14" t="n">
        <v>104</v>
      </c>
      <c r="F261" s="10" t="n">
        <f aca="false">E261/'Correction factors'!$B$10</f>
        <v>8.3876</v>
      </c>
      <c r="G261" s="11" t="n">
        <v>368</v>
      </c>
    </row>
    <row r="262" customFormat="false" ht="15" hidden="false" customHeight="false" outlineLevel="0" collapsed="false">
      <c r="A262" s="10" t="n">
        <v>55.1950142383575</v>
      </c>
      <c r="B262" s="11" t="n">
        <v>200</v>
      </c>
      <c r="C262" s="12" t="n">
        <f aca="false">B262*'Correction factors'!$B$7</f>
        <v>967.8</v>
      </c>
      <c r="D262" s="13" t="n">
        <v>4.643812</v>
      </c>
      <c r="E262" s="14" t="n">
        <v>96</v>
      </c>
      <c r="F262" s="10" t="n">
        <f aca="false">E262/'Correction factors'!$B$10</f>
        <v>7.7424</v>
      </c>
      <c r="G262" s="11" t="n">
        <v>368</v>
      </c>
    </row>
    <row r="263" customFormat="false" ht="15" hidden="false" customHeight="false" outlineLevel="0" collapsed="false">
      <c r="A263" s="10" t="n">
        <v>55.6270031929016</v>
      </c>
      <c r="B263" s="11" t="n">
        <v>200</v>
      </c>
      <c r="C263" s="12" t="n">
        <f aca="false">B263*'Correction factors'!$B$7</f>
        <v>967.8</v>
      </c>
      <c r="D263" s="13" t="n">
        <v>4.624168</v>
      </c>
      <c r="E263" s="14" t="n">
        <v>96</v>
      </c>
      <c r="F263" s="10" t="n">
        <f aca="false">E263/'Correction factors'!$B$10</f>
        <v>7.7424</v>
      </c>
      <c r="G263" s="11" t="n">
        <v>368</v>
      </c>
    </row>
    <row r="264" customFormat="false" ht="15" hidden="false" customHeight="false" outlineLevel="0" collapsed="false">
      <c r="A264" s="10" t="n">
        <v>55.6270031929016</v>
      </c>
      <c r="B264" s="11" t="n">
        <v>200</v>
      </c>
      <c r="C264" s="12" t="n">
        <f aca="false">B264*'Correction factors'!$B$7</f>
        <v>967.8</v>
      </c>
      <c r="D264" s="13" t="n">
        <v>4.624168</v>
      </c>
      <c r="E264" s="14" t="n">
        <v>104</v>
      </c>
      <c r="F264" s="10" t="n">
        <f aca="false">E264/'Correction factors'!$B$10</f>
        <v>8.3876</v>
      </c>
      <c r="G264" s="11" t="n">
        <v>368</v>
      </c>
    </row>
    <row r="265" customFormat="false" ht="15" hidden="false" customHeight="false" outlineLevel="0" collapsed="false">
      <c r="A265" s="10" t="n">
        <v>56.0559253692627</v>
      </c>
      <c r="B265" s="11" t="n">
        <v>200</v>
      </c>
      <c r="C265" s="12" t="n">
        <f aca="false">B265*'Correction factors'!$B$7</f>
        <v>967.8</v>
      </c>
      <c r="D265" s="13" t="n">
        <v>4.604526</v>
      </c>
      <c r="E265" s="14" t="n">
        <v>96</v>
      </c>
      <c r="F265" s="10" t="n">
        <f aca="false">E265/'Correction factors'!$B$10</f>
        <v>7.7424</v>
      </c>
      <c r="G265" s="11" t="n">
        <v>370</v>
      </c>
    </row>
    <row r="266" customFormat="false" ht="15" hidden="false" customHeight="false" outlineLevel="0" collapsed="false">
      <c r="A266" s="10" t="n">
        <v>56.0559253692627</v>
      </c>
      <c r="B266" s="11" t="n">
        <v>220</v>
      </c>
      <c r="C266" s="12" t="n">
        <f aca="false">B266*'Correction factors'!$B$7</f>
        <v>1064.58</v>
      </c>
      <c r="D266" s="13" t="n">
        <v>4.604526</v>
      </c>
      <c r="E266" s="14" t="n">
        <v>104</v>
      </c>
      <c r="F266" s="10" t="n">
        <f aca="false">E266/'Correction factors'!$B$10</f>
        <v>8.3876</v>
      </c>
      <c r="G266" s="11" t="n">
        <v>370</v>
      </c>
    </row>
    <row r="267" customFormat="false" ht="15" hidden="false" customHeight="false" outlineLevel="0" collapsed="false">
      <c r="A267" s="10" t="n">
        <v>56.4863970279694</v>
      </c>
      <c r="B267" s="11" t="n">
        <v>200</v>
      </c>
      <c r="C267" s="12" t="n">
        <f aca="false">B267*'Correction factors'!$B$7</f>
        <v>967.8</v>
      </c>
      <c r="D267" s="13" t="n">
        <v>4.584882</v>
      </c>
      <c r="E267" s="14" t="n">
        <v>96</v>
      </c>
      <c r="F267" s="10" t="n">
        <f aca="false">E267/'Correction factors'!$B$10</f>
        <v>7.7424</v>
      </c>
      <c r="G267" s="11" t="n">
        <v>368</v>
      </c>
    </row>
    <row r="268" customFormat="false" ht="15" hidden="false" customHeight="false" outlineLevel="0" collapsed="false">
      <c r="A268" s="10" t="n">
        <v>56.4863970279694</v>
      </c>
      <c r="B268" s="11" t="n">
        <v>200</v>
      </c>
      <c r="C268" s="12" t="n">
        <f aca="false">B268*'Correction factors'!$B$7</f>
        <v>967.8</v>
      </c>
      <c r="D268" s="13" t="n">
        <v>4.594704</v>
      </c>
      <c r="E268" s="14" t="n">
        <v>104</v>
      </c>
      <c r="F268" s="10" t="n">
        <f aca="false">E268/'Correction factors'!$B$10</f>
        <v>8.3876</v>
      </c>
      <c r="G268" s="11" t="n">
        <v>370</v>
      </c>
    </row>
    <row r="269" customFormat="false" ht="15" hidden="false" customHeight="false" outlineLevel="0" collapsed="false">
      <c r="A269" s="10" t="n">
        <v>56.9493350982666</v>
      </c>
      <c r="B269" s="11" t="n">
        <v>220</v>
      </c>
      <c r="C269" s="12" t="n">
        <f aca="false">B269*'Correction factors'!$B$7</f>
        <v>1064.58</v>
      </c>
      <c r="D269" s="13" t="n">
        <v>4.584882</v>
      </c>
      <c r="E269" s="14" t="n">
        <v>104</v>
      </c>
      <c r="F269" s="10" t="n">
        <f aca="false">E269/'Correction factors'!$B$10</f>
        <v>8.3876</v>
      </c>
      <c r="G269" s="11" t="n">
        <v>370</v>
      </c>
    </row>
    <row r="270" customFormat="false" ht="15" hidden="false" customHeight="false" outlineLevel="0" collapsed="false">
      <c r="A270" s="10" t="n">
        <v>56.9493350982666</v>
      </c>
      <c r="B270" s="11" t="n">
        <v>200</v>
      </c>
      <c r="C270" s="12" t="n">
        <f aca="false">B270*'Correction factors'!$B$7</f>
        <v>967.8</v>
      </c>
      <c r="D270" s="13" t="n">
        <v>4.565239</v>
      </c>
      <c r="E270" s="14" t="n">
        <v>104</v>
      </c>
      <c r="F270" s="10" t="n">
        <f aca="false">E270/'Correction factors'!$B$10</f>
        <v>8.3876</v>
      </c>
      <c r="G270" s="11" t="n">
        <v>370</v>
      </c>
    </row>
    <row r="271" customFormat="false" ht="15" hidden="false" customHeight="false" outlineLevel="0" collapsed="false">
      <c r="A271" s="10" t="n">
        <v>56.9493350982666</v>
      </c>
      <c r="B271" s="11" t="n">
        <v>200</v>
      </c>
      <c r="C271" s="12" t="n">
        <f aca="false">B271*'Correction factors'!$B$7</f>
        <v>967.8</v>
      </c>
      <c r="D271" s="13" t="n">
        <v>4.565239</v>
      </c>
      <c r="E271" s="14" t="n">
        <v>104</v>
      </c>
      <c r="F271" s="10" t="n">
        <f aca="false">E271/'Correction factors'!$B$10</f>
        <v>8.3876</v>
      </c>
      <c r="G271" s="11" t="n">
        <v>370</v>
      </c>
    </row>
    <row r="272" customFormat="false" ht="15" hidden="false" customHeight="false" outlineLevel="0" collapsed="false">
      <c r="A272" s="10" t="n">
        <v>57.4113528728485</v>
      </c>
      <c r="B272" s="11" t="n">
        <v>200</v>
      </c>
      <c r="C272" s="12" t="n">
        <f aca="false">B272*'Correction factors'!$B$7</f>
        <v>967.8</v>
      </c>
      <c r="D272" s="13" t="n">
        <v>4.555418</v>
      </c>
      <c r="E272" s="14" t="n">
        <v>104</v>
      </c>
      <c r="F272" s="10" t="n">
        <f aca="false">E272/'Correction factors'!$B$10</f>
        <v>8.3876</v>
      </c>
      <c r="G272" s="11" t="n">
        <v>371</v>
      </c>
    </row>
    <row r="273" customFormat="false" ht="15" hidden="false" customHeight="false" outlineLevel="0" collapsed="false">
      <c r="A273" s="10" t="n">
        <v>57.4113528728485</v>
      </c>
      <c r="B273" s="11" t="n">
        <v>200</v>
      </c>
      <c r="C273" s="12" t="n">
        <f aca="false">B273*'Correction factors'!$B$7</f>
        <v>967.8</v>
      </c>
      <c r="D273" s="13" t="n">
        <v>4.535774</v>
      </c>
      <c r="E273" s="14" t="n">
        <v>104</v>
      </c>
      <c r="F273" s="10" t="n">
        <f aca="false">E273/'Correction factors'!$B$10</f>
        <v>8.3876</v>
      </c>
      <c r="G273" s="11" t="n">
        <v>371</v>
      </c>
    </row>
    <row r="274" customFormat="false" ht="15" hidden="false" customHeight="false" outlineLevel="0" collapsed="false">
      <c r="A274" s="10" t="n">
        <v>57.8466358184815</v>
      </c>
      <c r="B274" s="11" t="n">
        <v>200</v>
      </c>
      <c r="C274" s="12" t="n">
        <f aca="false">B274*'Correction factors'!$B$7</f>
        <v>967.8</v>
      </c>
      <c r="D274" s="13" t="n">
        <v>4.525952</v>
      </c>
      <c r="E274" s="14" t="n">
        <v>104</v>
      </c>
      <c r="F274" s="10" t="n">
        <f aca="false">E274/'Correction factors'!$B$10</f>
        <v>8.3876</v>
      </c>
      <c r="G274" s="11" t="n">
        <v>371</v>
      </c>
    </row>
    <row r="275" customFormat="false" ht="15" hidden="false" customHeight="false" outlineLevel="0" collapsed="false">
      <c r="A275" s="10" t="n">
        <v>57.8466358184815</v>
      </c>
      <c r="B275" s="11" t="n">
        <v>200</v>
      </c>
      <c r="C275" s="12" t="n">
        <f aca="false">B275*'Correction factors'!$B$7</f>
        <v>967.8</v>
      </c>
      <c r="D275" s="13" t="n">
        <v>4.516131</v>
      </c>
      <c r="E275" s="14" t="n">
        <v>104</v>
      </c>
      <c r="F275" s="10" t="n">
        <f aca="false">E275/'Correction factors'!$B$10</f>
        <v>8.3876</v>
      </c>
      <c r="G275" s="11" t="n">
        <v>372</v>
      </c>
    </row>
    <row r="276" customFormat="false" ht="15" hidden="false" customHeight="false" outlineLevel="0" collapsed="false">
      <c r="A276" s="10" t="n">
        <v>58.2759032249451</v>
      </c>
      <c r="B276" s="11" t="n">
        <v>220</v>
      </c>
      <c r="C276" s="12" t="n">
        <f aca="false">B276*'Correction factors'!$B$7</f>
        <v>1064.58</v>
      </c>
      <c r="D276" s="13" t="n">
        <v>4.50631</v>
      </c>
      <c r="E276" s="14" t="n">
        <v>112</v>
      </c>
      <c r="F276" s="10" t="n">
        <f aca="false">E276/'Correction factors'!$B$10</f>
        <v>9.0328</v>
      </c>
      <c r="G276" s="11" t="n">
        <v>371</v>
      </c>
    </row>
    <row r="277" customFormat="false" ht="15" hidden="false" customHeight="false" outlineLevel="0" collapsed="false">
      <c r="A277" s="10" t="n">
        <v>58.2759032249451</v>
      </c>
      <c r="B277" s="11" t="n">
        <v>200</v>
      </c>
      <c r="C277" s="12" t="n">
        <f aca="false">B277*'Correction factors'!$B$7</f>
        <v>967.8</v>
      </c>
      <c r="D277" s="13" t="n">
        <v>4.496488</v>
      </c>
      <c r="E277" s="14" t="n">
        <v>104</v>
      </c>
      <c r="F277" s="10" t="n">
        <f aca="false">E277/'Correction factors'!$B$10</f>
        <v>8.3876</v>
      </c>
      <c r="G277" s="11" t="n">
        <v>372</v>
      </c>
    </row>
    <row r="278" customFormat="false" ht="15" hidden="false" customHeight="false" outlineLevel="0" collapsed="false">
      <c r="A278" s="10" t="n">
        <v>58.7097828388214</v>
      </c>
      <c r="B278" s="11" t="n">
        <v>200</v>
      </c>
      <c r="C278" s="12" t="n">
        <f aca="false">B278*'Correction factors'!$B$7</f>
        <v>967.8</v>
      </c>
      <c r="D278" s="13" t="n">
        <v>4.486666</v>
      </c>
      <c r="E278" s="14" t="n">
        <v>104</v>
      </c>
      <c r="F278" s="10" t="n">
        <f aca="false">E278/'Correction factors'!$B$10</f>
        <v>8.3876</v>
      </c>
      <c r="G278" s="11" t="n">
        <v>371</v>
      </c>
    </row>
    <row r="279" customFormat="false" ht="15" hidden="false" customHeight="false" outlineLevel="0" collapsed="false">
      <c r="A279" s="10" t="n">
        <v>58.7097828388214</v>
      </c>
      <c r="B279" s="11" t="n">
        <v>220</v>
      </c>
      <c r="C279" s="12" t="n">
        <f aca="false">B279*'Correction factors'!$B$7</f>
        <v>1064.58</v>
      </c>
      <c r="D279" s="13" t="n">
        <v>4.476845</v>
      </c>
      <c r="E279" s="14" t="n">
        <v>112</v>
      </c>
      <c r="F279" s="10" t="n">
        <f aca="false">E279/'Correction factors'!$B$10</f>
        <v>9.0328</v>
      </c>
      <c r="G279" s="11" t="n">
        <v>371</v>
      </c>
    </row>
    <row r="280" customFormat="false" ht="15" hidden="false" customHeight="false" outlineLevel="0" collapsed="false">
      <c r="A280" s="10" t="n">
        <v>59.1388924121857</v>
      </c>
      <c r="B280" s="11" t="n">
        <v>220</v>
      </c>
      <c r="C280" s="12" t="n">
        <f aca="false">B280*'Correction factors'!$B$7</f>
        <v>1064.58</v>
      </c>
      <c r="D280" s="13" t="n">
        <v>4.467023</v>
      </c>
      <c r="E280" s="14" t="n">
        <v>104</v>
      </c>
      <c r="F280" s="10" t="n">
        <f aca="false">E280/'Correction factors'!$B$10</f>
        <v>8.3876</v>
      </c>
      <c r="G280" s="11" t="n">
        <v>371</v>
      </c>
    </row>
    <row r="281" customFormat="false" ht="15" hidden="false" customHeight="false" outlineLevel="0" collapsed="false">
      <c r="A281" s="10" t="n">
        <v>59.1388924121857</v>
      </c>
      <c r="B281" s="11" t="n">
        <v>200</v>
      </c>
      <c r="C281" s="12" t="n">
        <f aca="false">B281*'Correction factors'!$B$7</f>
        <v>967.8</v>
      </c>
      <c r="D281" s="13" t="n">
        <v>4.476845</v>
      </c>
      <c r="E281" s="14" t="n">
        <v>104</v>
      </c>
      <c r="F281" s="10" t="n">
        <f aca="false">E281/'Correction factors'!$B$10</f>
        <v>8.3876</v>
      </c>
      <c r="G281" s="11" t="n">
        <v>371</v>
      </c>
    </row>
    <row r="282" customFormat="false" ht="15" hidden="false" customHeight="false" outlineLevel="0" collapsed="false">
      <c r="A282" s="10" t="n">
        <v>59.5773882865906</v>
      </c>
      <c r="B282" s="11" t="n">
        <v>200</v>
      </c>
      <c r="C282" s="12" t="n">
        <f aca="false">B282*'Correction factors'!$B$7</f>
        <v>967.8</v>
      </c>
      <c r="D282" s="13" t="n">
        <v>4.44738</v>
      </c>
      <c r="E282" s="14" t="n">
        <v>112</v>
      </c>
      <c r="F282" s="10" t="n">
        <f aca="false">E282/'Correction factors'!$B$10</f>
        <v>9.0328</v>
      </c>
      <c r="G282" s="11" t="n">
        <v>371</v>
      </c>
    </row>
    <row r="283" customFormat="false" ht="15" hidden="false" customHeight="false" outlineLevel="0" collapsed="false">
      <c r="A283" s="10" t="n">
        <v>59.5773882865906</v>
      </c>
      <c r="B283" s="11" t="n">
        <v>200</v>
      </c>
      <c r="C283" s="12" t="n">
        <f aca="false">B283*'Correction factors'!$B$7</f>
        <v>967.8</v>
      </c>
      <c r="D283" s="13" t="n">
        <v>4.44738</v>
      </c>
      <c r="E283" s="14" t="n">
        <v>104</v>
      </c>
      <c r="F283" s="10" t="n">
        <f aca="false">E283/'Correction factors'!$B$10</f>
        <v>8.3876</v>
      </c>
      <c r="G283" s="11" t="n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5"/>
    <col collapsed="false" customWidth="true" hidden="false" outlineLevel="0" max="6" min="5" style="0" width="20"/>
    <col collapsed="false" customWidth="true" hidden="false" outlineLevel="0" max="7" min="7" style="0" width="15"/>
  </cols>
  <sheetData>
    <row r="1" customFormat="false" ht="30" hidden="false" customHeight="tru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</row>
    <row r="2" customFormat="false" ht="15" hidden="false" customHeight="false" outlineLevel="0" collapsed="false">
      <c r="A2" s="10" t="n">
        <v>0.294766426086426</v>
      </c>
      <c r="B2" s="11" t="n">
        <v>0</v>
      </c>
      <c r="C2" s="12" t="n">
        <f aca="false">B2*'Correction factors'!$B$7</f>
        <v>0</v>
      </c>
      <c r="D2" s="13" t="n">
        <v>1.049108</v>
      </c>
      <c r="E2" s="14" t="n">
        <v>0</v>
      </c>
      <c r="F2" s="10" t="n">
        <f aca="false">E2/'Correction factors'!$B$10</f>
        <v>0</v>
      </c>
      <c r="G2" s="11" t="n">
        <v>509</v>
      </c>
    </row>
    <row r="3" customFormat="false" ht="15" hidden="false" customHeight="false" outlineLevel="0" collapsed="false">
      <c r="A3" s="10" t="n">
        <v>0.294766426086426</v>
      </c>
      <c r="B3" s="11" t="n">
        <v>0</v>
      </c>
      <c r="C3" s="12" t="n">
        <f aca="false">B3*'Correction factors'!$B$7</f>
        <v>0</v>
      </c>
      <c r="D3" s="13" t="n">
        <v>1.049108</v>
      </c>
      <c r="E3" s="14" t="n">
        <v>0</v>
      </c>
      <c r="F3" s="10" t="n">
        <f aca="false">E3/'Correction factors'!$B$10</f>
        <v>0</v>
      </c>
      <c r="G3" s="11" t="n">
        <v>494</v>
      </c>
    </row>
    <row r="4" customFormat="false" ht="15" hidden="false" customHeight="false" outlineLevel="0" collapsed="false">
      <c r="A4" s="10" t="n">
        <v>1.64594602584839</v>
      </c>
      <c r="B4" s="11" t="n">
        <v>0</v>
      </c>
      <c r="C4" s="12" t="n">
        <f aca="false">B4*'Correction factors'!$B$7</f>
        <v>0</v>
      </c>
      <c r="D4" s="13" t="n">
        <v>1.049108</v>
      </c>
      <c r="E4" s="14" t="n">
        <v>0</v>
      </c>
      <c r="F4" s="10" t="n">
        <f aca="false">E4/'Correction factors'!$B$10</f>
        <v>0</v>
      </c>
      <c r="G4" s="11" t="n">
        <v>243</v>
      </c>
    </row>
    <row r="5" customFormat="false" ht="15" hidden="false" customHeight="false" outlineLevel="0" collapsed="false">
      <c r="A5" s="10" t="n">
        <v>1.64594602584839</v>
      </c>
      <c r="B5" s="11" t="n">
        <v>0</v>
      </c>
      <c r="C5" s="12" t="n">
        <f aca="false">B5*'Correction factors'!$B$7</f>
        <v>0</v>
      </c>
      <c r="D5" s="13" t="n">
        <v>1.068751</v>
      </c>
      <c r="E5" s="14" t="n">
        <v>0</v>
      </c>
      <c r="F5" s="10" t="n">
        <f aca="false">E5/'Correction factors'!$B$10</f>
        <v>0</v>
      </c>
      <c r="G5" s="11" t="n">
        <v>245</v>
      </c>
    </row>
    <row r="6" customFormat="false" ht="15" hidden="false" customHeight="false" outlineLevel="0" collapsed="false">
      <c r="A6" s="10" t="n">
        <v>2.15203046798706</v>
      </c>
      <c r="B6" s="11" t="n">
        <v>0</v>
      </c>
      <c r="C6" s="12" t="n">
        <f aca="false">B6*'Correction factors'!$B$7</f>
        <v>0</v>
      </c>
      <c r="D6" s="13" t="n">
        <v>1.05893</v>
      </c>
      <c r="E6" s="14" t="n">
        <v>0</v>
      </c>
      <c r="F6" s="10" t="n">
        <f aca="false">E6/'Correction factors'!$B$10</f>
        <v>0</v>
      </c>
      <c r="G6" s="11" t="n">
        <v>253</v>
      </c>
    </row>
    <row r="7" customFormat="false" ht="15" hidden="false" customHeight="false" outlineLevel="0" collapsed="false">
      <c r="A7" s="10" t="n">
        <v>2.15203046798706</v>
      </c>
      <c r="B7" s="11" t="n">
        <v>0</v>
      </c>
      <c r="C7" s="12" t="n">
        <f aca="false">B7*'Correction factors'!$B$7</f>
        <v>0</v>
      </c>
      <c r="D7" s="13" t="n">
        <v>1.05893</v>
      </c>
      <c r="E7" s="14" t="n">
        <v>0</v>
      </c>
      <c r="F7" s="10" t="n">
        <f aca="false">E7/'Correction factors'!$B$10</f>
        <v>0</v>
      </c>
      <c r="G7" s="11" t="n">
        <v>256</v>
      </c>
    </row>
    <row r="8" customFormat="false" ht="15" hidden="false" customHeight="false" outlineLevel="0" collapsed="false">
      <c r="A8" s="10" t="n">
        <v>2.15203046798706</v>
      </c>
      <c r="B8" s="11" t="n">
        <v>0</v>
      </c>
      <c r="C8" s="12" t="n">
        <f aca="false">B8*'Correction factors'!$B$7</f>
        <v>0</v>
      </c>
      <c r="D8" s="13" t="n">
        <v>1.05893</v>
      </c>
      <c r="E8" s="14" t="n">
        <v>0</v>
      </c>
      <c r="F8" s="10" t="n">
        <f aca="false">E8/'Correction factors'!$B$10</f>
        <v>0</v>
      </c>
      <c r="G8" s="11" t="n">
        <v>262</v>
      </c>
    </row>
    <row r="9" customFormat="false" ht="15" hidden="false" customHeight="false" outlineLevel="0" collapsed="false">
      <c r="A9" s="10" t="n">
        <v>2.63217806816101</v>
      </c>
      <c r="B9" s="11" t="n">
        <v>0</v>
      </c>
      <c r="C9" s="12" t="n">
        <f aca="false">B9*'Correction factors'!$B$7</f>
        <v>0</v>
      </c>
      <c r="D9" s="13" t="n">
        <v>1.05893</v>
      </c>
      <c r="E9" s="14" t="n">
        <v>0</v>
      </c>
      <c r="F9" s="10" t="n">
        <f aca="false">E9/'Correction factors'!$B$10</f>
        <v>0</v>
      </c>
      <c r="G9" s="11" t="n">
        <v>273</v>
      </c>
    </row>
    <row r="10" customFormat="false" ht="15" hidden="false" customHeight="false" outlineLevel="0" collapsed="false">
      <c r="A10" s="10" t="n">
        <v>2.63217806816101</v>
      </c>
      <c r="B10" s="11" t="n">
        <v>0</v>
      </c>
      <c r="C10" s="12" t="n">
        <f aca="false">B10*'Correction factors'!$B$7</f>
        <v>0</v>
      </c>
      <c r="D10" s="13" t="n">
        <v>1.05893</v>
      </c>
      <c r="E10" s="14" t="n">
        <v>0</v>
      </c>
      <c r="F10" s="10" t="n">
        <f aca="false">E10/'Correction factors'!$B$10</f>
        <v>0</v>
      </c>
      <c r="G10" s="11" t="n">
        <v>275</v>
      </c>
    </row>
    <row r="11" customFormat="false" ht="15" hidden="false" customHeight="false" outlineLevel="0" collapsed="false">
      <c r="A11" s="10" t="n">
        <v>3.06199336051941</v>
      </c>
      <c r="B11" s="11" t="n">
        <v>0</v>
      </c>
      <c r="C11" s="12" t="n">
        <f aca="false">B11*'Correction factors'!$B$7</f>
        <v>0</v>
      </c>
      <c r="D11" s="13" t="n">
        <v>1.049108</v>
      </c>
      <c r="E11" s="14" t="n">
        <v>0</v>
      </c>
      <c r="F11" s="10" t="n">
        <f aca="false">E11/'Correction factors'!$B$10</f>
        <v>0</v>
      </c>
      <c r="G11" s="11" t="n">
        <v>285</v>
      </c>
    </row>
    <row r="12" customFormat="false" ht="15" hidden="false" customHeight="false" outlineLevel="0" collapsed="false">
      <c r="A12" s="10" t="n">
        <v>3.06199336051941</v>
      </c>
      <c r="B12" s="11" t="n">
        <v>0</v>
      </c>
      <c r="C12" s="12" t="n">
        <f aca="false">B12*'Correction factors'!$B$7</f>
        <v>0</v>
      </c>
      <c r="D12" s="13" t="n">
        <v>1.05893</v>
      </c>
      <c r="E12" s="14" t="n">
        <v>0</v>
      </c>
      <c r="F12" s="10" t="n">
        <f aca="false">E12/'Correction factors'!$B$10</f>
        <v>0</v>
      </c>
      <c r="G12" s="11" t="n">
        <v>286</v>
      </c>
    </row>
    <row r="13" customFormat="false" ht="15" hidden="false" customHeight="false" outlineLevel="0" collapsed="false">
      <c r="A13" s="10" t="n">
        <v>3.50931930541992</v>
      </c>
      <c r="B13" s="11" t="n">
        <v>0</v>
      </c>
      <c r="C13" s="12" t="n">
        <f aca="false">B13*'Correction factors'!$B$7</f>
        <v>0</v>
      </c>
      <c r="D13" s="13" t="n">
        <v>1.049108</v>
      </c>
      <c r="E13" s="14" t="n">
        <v>0</v>
      </c>
      <c r="F13" s="10" t="n">
        <f aca="false">E13/'Correction factors'!$B$10</f>
        <v>0</v>
      </c>
      <c r="G13" s="11" t="n">
        <v>297</v>
      </c>
    </row>
    <row r="14" customFormat="false" ht="15" hidden="false" customHeight="false" outlineLevel="0" collapsed="false">
      <c r="A14" s="10" t="n">
        <v>3.50931930541992</v>
      </c>
      <c r="B14" s="11" t="n">
        <v>0</v>
      </c>
      <c r="C14" s="12" t="n">
        <f aca="false">B14*'Correction factors'!$B$7</f>
        <v>0</v>
      </c>
      <c r="D14" s="13" t="n">
        <v>1.05893</v>
      </c>
      <c r="E14" s="14" t="n">
        <v>0</v>
      </c>
      <c r="F14" s="10" t="n">
        <f aca="false">E14/'Correction factors'!$B$10</f>
        <v>0</v>
      </c>
      <c r="G14" s="11" t="n">
        <v>299</v>
      </c>
    </row>
    <row r="15" customFormat="false" ht="15" hidden="false" customHeight="false" outlineLevel="0" collapsed="false">
      <c r="A15" s="10" t="n">
        <v>3.99325394630432</v>
      </c>
      <c r="B15" s="11" t="n">
        <v>0</v>
      </c>
      <c r="C15" s="12" t="n">
        <f aca="false">B15*'Correction factors'!$B$7</f>
        <v>0</v>
      </c>
      <c r="D15" s="13" t="n">
        <v>1.049108</v>
      </c>
      <c r="E15" s="14" t="n">
        <v>0</v>
      </c>
      <c r="F15" s="10" t="n">
        <f aca="false">E15/'Correction factors'!$B$10</f>
        <v>0</v>
      </c>
      <c r="G15" s="11" t="n">
        <v>310</v>
      </c>
    </row>
    <row r="16" customFormat="false" ht="15" hidden="false" customHeight="false" outlineLevel="0" collapsed="false">
      <c r="A16" s="10" t="n">
        <v>3.99325394630432</v>
      </c>
      <c r="B16" s="11" t="n">
        <v>0</v>
      </c>
      <c r="C16" s="12" t="n">
        <f aca="false">B16*'Correction factors'!$B$7</f>
        <v>0</v>
      </c>
      <c r="D16" s="13" t="n">
        <v>1.05893</v>
      </c>
      <c r="E16" s="14" t="n">
        <v>0</v>
      </c>
      <c r="F16" s="10" t="n">
        <f aca="false">E16/'Correction factors'!$B$10</f>
        <v>0</v>
      </c>
      <c r="G16" s="11" t="n">
        <v>311</v>
      </c>
    </row>
    <row r="17" customFormat="false" ht="15" hidden="false" customHeight="false" outlineLevel="0" collapsed="false">
      <c r="A17" s="10" t="n">
        <v>3.99325394630432</v>
      </c>
      <c r="B17" s="11" t="n">
        <v>0</v>
      </c>
      <c r="C17" s="12" t="n">
        <f aca="false">B17*'Correction factors'!$B$7</f>
        <v>0</v>
      </c>
      <c r="D17" s="13" t="n">
        <v>1.068751</v>
      </c>
      <c r="E17" s="14" t="n">
        <v>0</v>
      </c>
      <c r="F17" s="10" t="n">
        <f aca="false">E17/'Correction factors'!$B$10</f>
        <v>0</v>
      </c>
      <c r="G17" s="11" t="n">
        <v>317</v>
      </c>
    </row>
    <row r="18" customFormat="false" ht="15" hidden="false" customHeight="false" outlineLevel="0" collapsed="false">
      <c r="A18" s="10" t="n">
        <v>4.53443694114685</v>
      </c>
      <c r="B18" s="11" t="n">
        <v>0</v>
      </c>
      <c r="C18" s="12" t="n">
        <f aca="false">B18*'Correction factors'!$B$7</f>
        <v>0</v>
      </c>
      <c r="D18" s="13" t="n">
        <v>1.049108</v>
      </c>
      <c r="E18" s="14" t="n">
        <v>0</v>
      </c>
      <c r="F18" s="10" t="n">
        <f aca="false">E18/'Correction factors'!$B$10</f>
        <v>0</v>
      </c>
      <c r="G18" s="11" t="n">
        <v>329</v>
      </c>
    </row>
    <row r="19" customFormat="false" ht="15" hidden="false" customHeight="false" outlineLevel="0" collapsed="false">
      <c r="A19" s="10" t="n">
        <v>4.53443694114685</v>
      </c>
      <c r="B19" s="11" t="n">
        <v>0</v>
      </c>
      <c r="C19" s="12" t="n">
        <f aca="false">B19*'Correction factors'!$B$7</f>
        <v>0</v>
      </c>
      <c r="D19" s="13" t="n">
        <v>1.05893</v>
      </c>
      <c r="E19" s="14" t="n">
        <v>0</v>
      </c>
      <c r="F19" s="10" t="n">
        <f aca="false">E19/'Correction factors'!$B$10</f>
        <v>0</v>
      </c>
      <c r="G19" s="11" t="n">
        <v>331</v>
      </c>
    </row>
    <row r="20" customFormat="false" ht="15" hidden="false" customHeight="false" outlineLevel="0" collapsed="false">
      <c r="A20" s="10" t="n">
        <v>4.96861910820007</v>
      </c>
      <c r="B20" s="11" t="n">
        <v>0</v>
      </c>
      <c r="C20" s="12" t="n">
        <f aca="false">B20*'Correction factors'!$B$7</f>
        <v>0</v>
      </c>
      <c r="D20" s="13" t="n">
        <v>1.049108</v>
      </c>
      <c r="E20" s="14" t="n">
        <v>0</v>
      </c>
      <c r="F20" s="10" t="n">
        <f aca="false">E20/'Correction factors'!$B$10</f>
        <v>0</v>
      </c>
      <c r="G20" s="11" t="n">
        <v>341</v>
      </c>
    </row>
    <row r="21" customFormat="false" ht="15" hidden="false" customHeight="false" outlineLevel="0" collapsed="false">
      <c r="A21" s="10" t="n">
        <v>4.96861910820007</v>
      </c>
      <c r="B21" s="11" t="n">
        <v>0</v>
      </c>
      <c r="C21" s="12" t="n">
        <f aca="false">B21*'Correction factors'!$B$7</f>
        <v>0</v>
      </c>
      <c r="D21" s="13" t="n">
        <v>1.05893</v>
      </c>
      <c r="E21" s="14" t="n">
        <v>0</v>
      </c>
      <c r="F21" s="10" t="n">
        <f aca="false">E21/'Correction factors'!$B$10</f>
        <v>0</v>
      </c>
      <c r="G21" s="11" t="n">
        <v>342</v>
      </c>
    </row>
    <row r="22" customFormat="false" ht="15" hidden="false" customHeight="false" outlineLevel="0" collapsed="false">
      <c r="A22" s="10" t="n">
        <v>4.96861910820007</v>
      </c>
      <c r="B22" s="11" t="n">
        <v>0</v>
      </c>
      <c r="C22" s="12" t="n">
        <f aca="false">B22*'Correction factors'!$B$7</f>
        <v>0</v>
      </c>
      <c r="D22" s="13" t="n">
        <v>1.049108</v>
      </c>
      <c r="E22" s="14" t="n">
        <v>0</v>
      </c>
      <c r="F22" s="10" t="n">
        <f aca="false">E22/'Correction factors'!$B$10</f>
        <v>0</v>
      </c>
      <c r="G22" s="11" t="n">
        <v>355</v>
      </c>
    </row>
    <row r="23" customFormat="false" ht="15" hidden="false" customHeight="false" outlineLevel="0" collapsed="false">
      <c r="A23" s="10" t="n">
        <v>5.47529029846191</v>
      </c>
      <c r="B23" s="11" t="n">
        <v>0</v>
      </c>
      <c r="C23" s="12" t="n">
        <f aca="false">B23*'Correction factors'!$B$7</f>
        <v>0</v>
      </c>
      <c r="D23" s="13" t="n">
        <v>1.049108</v>
      </c>
      <c r="E23" s="14" t="n">
        <v>0</v>
      </c>
      <c r="F23" s="10" t="n">
        <f aca="false">E23/'Correction factors'!$B$10</f>
        <v>0</v>
      </c>
      <c r="G23" s="11" t="n">
        <v>358</v>
      </c>
    </row>
    <row r="24" customFormat="false" ht="15" hidden="false" customHeight="false" outlineLevel="0" collapsed="false">
      <c r="A24" s="10" t="n">
        <v>5.47529029846191</v>
      </c>
      <c r="B24" s="11" t="n">
        <v>0</v>
      </c>
      <c r="C24" s="12" t="n">
        <f aca="false">B24*'Correction factors'!$B$7</f>
        <v>0</v>
      </c>
      <c r="D24" s="13" t="n">
        <v>1.049108</v>
      </c>
      <c r="E24" s="14" t="n">
        <v>0</v>
      </c>
      <c r="F24" s="10" t="n">
        <f aca="false">E24/'Correction factors'!$B$10</f>
        <v>0</v>
      </c>
      <c r="G24" s="11" t="n">
        <v>362</v>
      </c>
    </row>
    <row r="25" customFormat="false" ht="15" hidden="false" customHeight="false" outlineLevel="0" collapsed="false">
      <c r="A25" s="10" t="n">
        <v>5.91995525360107</v>
      </c>
      <c r="B25" s="11" t="n">
        <v>0</v>
      </c>
      <c r="C25" s="12" t="n">
        <f aca="false">B25*'Correction factors'!$B$7</f>
        <v>0</v>
      </c>
      <c r="D25" s="13" t="n">
        <v>1.05893</v>
      </c>
      <c r="E25" s="14" t="n">
        <v>0</v>
      </c>
      <c r="F25" s="10" t="n">
        <f aca="false">E25/'Correction factors'!$B$10</f>
        <v>0</v>
      </c>
      <c r="G25" s="11" t="n">
        <v>373</v>
      </c>
    </row>
    <row r="26" customFormat="false" ht="15" hidden="false" customHeight="false" outlineLevel="0" collapsed="false">
      <c r="A26" s="10" t="n">
        <v>5.91995525360107</v>
      </c>
      <c r="B26" s="11" t="n">
        <v>0</v>
      </c>
      <c r="C26" s="12" t="n">
        <f aca="false">B26*'Correction factors'!$B$7</f>
        <v>0</v>
      </c>
      <c r="D26" s="13" t="n">
        <v>1.049108</v>
      </c>
      <c r="E26" s="14" t="n">
        <v>0</v>
      </c>
      <c r="F26" s="10" t="n">
        <f aca="false">E26/'Correction factors'!$B$10</f>
        <v>0</v>
      </c>
      <c r="G26" s="11" t="n">
        <v>374</v>
      </c>
    </row>
    <row r="27" customFormat="false" ht="15" hidden="false" customHeight="false" outlineLevel="0" collapsed="false">
      <c r="A27" s="10" t="n">
        <v>6.35696458816528</v>
      </c>
      <c r="B27" s="11" t="n">
        <v>0</v>
      </c>
      <c r="C27" s="12" t="n">
        <f aca="false">B27*'Correction factors'!$B$7</f>
        <v>0</v>
      </c>
      <c r="D27" s="13" t="n">
        <v>1.068751</v>
      </c>
      <c r="E27" s="14" t="n">
        <v>0</v>
      </c>
      <c r="F27" s="10" t="n">
        <f aca="false">E27/'Correction factors'!$B$10</f>
        <v>0</v>
      </c>
      <c r="G27" s="11" t="n">
        <v>385</v>
      </c>
    </row>
    <row r="28" customFormat="false" ht="15" hidden="false" customHeight="false" outlineLevel="0" collapsed="false">
      <c r="A28" s="10" t="n">
        <v>6.35696458816528</v>
      </c>
      <c r="B28" s="11" t="n">
        <v>0</v>
      </c>
      <c r="C28" s="12" t="n">
        <f aca="false">B28*'Correction factors'!$B$7</f>
        <v>0</v>
      </c>
      <c r="D28" s="13" t="n">
        <v>1.05893</v>
      </c>
      <c r="E28" s="14" t="n">
        <v>0</v>
      </c>
      <c r="F28" s="10" t="n">
        <f aca="false">E28/'Correction factors'!$B$10</f>
        <v>0</v>
      </c>
      <c r="G28" s="11" t="n">
        <v>388</v>
      </c>
    </row>
    <row r="29" customFormat="false" ht="15" hidden="false" customHeight="false" outlineLevel="0" collapsed="false">
      <c r="A29" s="10" t="n">
        <v>6.84028172492981</v>
      </c>
      <c r="B29" s="11" t="n">
        <v>0</v>
      </c>
      <c r="C29" s="12" t="n">
        <f aca="false">B29*'Correction factors'!$B$7</f>
        <v>0</v>
      </c>
      <c r="D29" s="13" t="n">
        <v>1.068751</v>
      </c>
      <c r="E29" s="14" t="n">
        <v>0</v>
      </c>
      <c r="F29" s="10" t="n">
        <f aca="false">E29/'Correction factors'!$B$10</f>
        <v>0</v>
      </c>
      <c r="G29" s="11" t="n">
        <v>397</v>
      </c>
    </row>
    <row r="30" customFormat="false" ht="15" hidden="false" customHeight="false" outlineLevel="0" collapsed="false">
      <c r="A30" s="10" t="n">
        <v>6.84028172492981</v>
      </c>
      <c r="B30" s="11" t="n">
        <v>0</v>
      </c>
      <c r="C30" s="12" t="n">
        <f aca="false">B30*'Correction factors'!$B$7</f>
        <v>0</v>
      </c>
      <c r="D30" s="13" t="n">
        <v>1.05893</v>
      </c>
      <c r="E30" s="14" t="n">
        <v>0</v>
      </c>
      <c r="F30" s="10" t="n">
        <f aca="false">E30/'Correction factors'!$B$10</f>
        <v>0</v>
      </c>
      <c r="G30" s="11" t="n">
        <v>400</v>
      </c>
    </row>
    <row r="31" customFormat="false" ht="15" hidden="false" customHeight="false" outlineLevel="0" collapsed="false">
      <c r="A31" s="10" t="n">
        <v>6.84028172492981</v>
      </c>
      <c r="B31" s="11" t="n">
        <v>0</v>
      </c>
      <c r="C31" s="12" t="n">
        <f aca="false">B31*'Correction factors'!$B$7</f>
        <v>0</v>
      </c>
      <c r="D31" s="13" t="n">
        <v>1.05893</v>
      </c>
      <c r="E31" s="14" t="n">
        <v>0</v>
      </c>
      <c r="F31" s="10" t="n">
        <f aca="false">E31/'Correction factors'!$B$10</f>
        <v>0</v>
      </c>
      <c r="G31" s="11" t="n">
        <v>410</v>
      </c>
    </row>
    <row r="32" customFormat="false" ht="15" hidden="false" customHeight="false" outlineLevel="0" collapsed="false">
      <c r="A32" s="10" t="n">
        <v>7.32622146606445</v>
      </c>
      <c r="B32" s="11" t="n">
        <v>0</v>
      </c>
      <c r="C32" s="12" t="n">
        <f aca="false">B32*'Correction factors'!$B$7</f>
        <v>0</v>
      </c>
      <c r="D32" s="13" t="n">
        <v>1.05893</v>
      </c>
      <c r="E32" s="14" t="n">
        <v>0</v>
      </c>
      <c r="F32" s="10" t="n">
        <f aca="false">E32/'Correction factors'!$B$10</f>
        <v>0</v>
      </c>
      <c r="G32" s="11" t="n">
        <v>416</v>
      </c>
    </row>
    <row r="33" customFormat="false" ht="15" hidden="false" customHeight="false" outlineLevel="0" collapsed="false">
      <c r="A33" s="10" t="n">
        <v>7.32622146606445</v>
      </c>
      <c r="B33" s="11" t="n">
        <v>0</v>
      </c>
      <c r="C33" s="12" t="n">
        <f aca="false">B33*'Correction factors'!$B$7</f>
        <v>0</v>
      </c>
      <c r="D33" s="13" t="n">
        <v>1.05893</v>
      </c>
      <c r="E33" s="14" t="n">
        <v>0</v>
      </c>
      <c r="F33" s="10" t="n">
        <f aca="false">E33/'Correction factors'!$B$10</f>
        <v>0</v>
      </c>
      <c r="G33" s="11" t="n">
        <v>418</v>
      </c>
    </row>
    <row r="34" customFormat="false" ht="15" hidden="false" customHeight="false" outlineLevel="0" collapsed="false">
      <c r="A34" s="10" t="n">
        <v>7.79400849342346</v>
      </c>
      <c r="B34" s="11" t="n">
        <v>0</v>
      </c>
      <c r="C34" s="12" t="n">
        <f aca="false">B34*'Correction factors'!$B$7</f>
        <v>0</v>
      </c>
      <c r="D34" s="13" t="n">
        <v>1.05893</v>
      </c>
      <c r="E34" s="14" t="n">
        <v>0</v>
      </c>
      <c r="F34" s="10" t="n">
        <f aca="false">E34/'Correction factors'!$B$10</f>
        <v>0</v>
      </c>
      <c r="G34" s="11" t="n">
        <v>429</v>
      </c>
    </row>
    <row r="35" customFormat="false" ht="15" hidden="false" customHeight="false" outlineLevel="0" collapsed="false">
      <c r="A35" s="10" t="n">
        <v>7.79400849342346</v>
      </c>
      <c r="B35" s="11" t="n">
        <v>0</v>
      </c>
      <c r="C35" s="12" t="n">
        <f aca="false">B35*'Correction factors'!$B$7</f>
        <v>0</v>
      </c>
      <c r="D35" s="13" t="n">
        <v>1.049108</v>
      </c>
      <c r="E35" s="14" t="n">
        <v>0</v>
      </c>
      <c r="F35" s="10" t="n">
        <f aca="false">E35/'Correction factors'!$B$10</f>
        <v>0</v>
      </c>
      <c r="G35" s="11" t="n">
        <v>431</v>
      </c>
    </row>
    <row r="36" customFormat="false" ht="15" hidden="false" customHeight="false" outlineLevel="0" collapsed="false">
      <c r="A36" s="10" t="n">
        <v>8.25622296333313</v>
      </c>
      <c r="B36" s="11" t="n">
        <v>0</v>
      </c>
      <c r="C36" s="12" t="n">
        <f aca="false">B36*'Correction factors'!$B$7</f>
        <v>0</v>
      </c>
      <c r="D36" s="13" t="n">
        <v>1.05893</v>
      </c>
      <c r="E36" s="14" t="n">
        <v>0</v>
      </c>
      <c r="F36" s="10" t="n">
        <f aca="false">E36/'Correction factors'!$B$10</f>
        <v>0</v>
      </c>
      <c r="G36" s="11" t="n">
        <v>442</v>
      </c>
    </row>
    <row r="37" customFormat="false" ht="15" hidden="false" customHeight="false" outlineLevel="0" collapsed="false">
      <c r="A37" s="10" t="n">
        <v>8.25622296333313</v>
      </c>
      <c r="B37" s="11" t="n">
        <v>0</v>
      </c>
      <c r="C37" s="12" t="n">
        <f aca="false">B37*'Correction factors'!$B$7</f>
        <v>0</v>
      </c>
      <c r="D37" s="13" t="n">
        <v>1.049108</v>
      </c>
      <c r="E37" s="14" t="n">
        <v>0</v>
      </c>
      <c r="F37" s="10" t="n">
        <f aca="false">E37/'Correction factors'!$B$10</f>
        <v>0</v>
      </c>
      <c r="G37" s="11" t="n">
        <v>444</v>
      </c>
    </row>
    <row r="38" customFormat="false" ht="15" hidden="false" customHeight="false" outlineLevel="0" collapsed="false">
      <c r="A38" s="10" t="n">
        <v>8.25622296333313</v>
      </c>
      <c r="B38" s="11" t="n">
        <v>0</v>
      </c>
      <c r="C38" s="12" t="n">
        <f aca="false">B38*'Correction factors'!$B$7</f>
        <v>0</v>
      </c>
      <c r="D38" s="13" t="n">
        <v>1.05893</v>
      </c>
      <c r="E38" s="14" t="n">
        <v>0</v>
      </c>
      <c r="F38" s="10" t="n">
        <f aca="false">E38/'Correction factors'!$B$10</f>
        <v>0</v>
      </c>
      <c r="G38" s="11" t="n">
        <v>451</v>
      </c>
    </row>
    <row r="39" customFormat="false" ht="15" hidden="false" customHeight="false" outlineLevel="0" collapsed="false">
      <c r="A39" s="10" t="n">
        <v>8.75867033004761</v>
      </c>
      <c r="B39" s="11" t="n">
        <v>0</v>
      </c>
      <c r="C39" s="12" t="n">
        <f aca="false">B39*'Correction factors'!$B$7</f>
        <v>0</v>
      </c>
      <c r="D39" s="13" t="n">
        <v>1.05893</v>
      </c>
      <c r="E39" s="14" t="n">
        <v>0</v>
      </c>
      <c r="F39" s="10" t="n">
        <f aca="false">E39/'Correction factors'!$B$10</f>
        <v>0</v>
      </c>
      <c r="G39" s="11" t="n">
        <v>460</v>
      </c>
    </row>
    <row r="40" customFormat="false" ht="15" hidden="false" customHeight="false" outlineLevel="0" collapsed="false">
      <c r="A40" s="10" t="n">
        <v>8.75867033004761</v>
      </c>
      <c r="B40" s="11" t="n">
        <v>0</v>
      </c>
      <c r="C40" s="12" t="n">
        <f aca="false">B40*'Correction factors'!$B$7</f>
        <v>0</v>
      </c>
      <c r="D40" s="13" t="n">
        <v>1.05893</v>
      </c>
      <c r="E40" s="14" t="n">
        <v>0</v>
      </c>
      <c r="F40" s="10" t="n">
        <f aca="false">E40/'Correction factors'!$B$10</f>
        <v>0</v>
      </c>
      <c r="G40" s="11" t="n">
        <v>462</v>
      </c>
    </row>
    <row r="41" customFormat="false" ht="15" hidden="false" customHeight="false" outlineLevel="0" collapsed="false">
      <c r="A41" s="10" t="n">
        <v>9.2007577419281</v>
      </c>
      <c r="B41" s="11" t="n">
        <v>0</v>
      </c>
      <c r="C41" s="12" t="n">
        <f aca="false">B41*'Correction factors'!$B$7</f>
        <v>0</v>
      </c>
      <c r="D41" s="13" t="n">
        <v>1.05893</v>
      </c>
      <c r="E41" s="14" t="n">
        <v>0</v>
      </c>
      <c r="F41" s="10" t="n">
        <f aca="false">E41/'Correction factors'!$B$10</f>
        <v>0</v>
      </c>
      <c r="G41" s="11" t="n">
        <v>472</v>
      </c>
    </row>
    <row r="42" customFormat="false" ht="15" hidden="false" customHeight="false" outlineLevel="0" collapsed="false">
      <c r="A42" s="10" t="n">
        <v>9.2007577419281</v>
      </c>
      <c r="B42" s="11" t="n">
        <v>0</v>
      </c>
      <c r="C42" s="12" t="n">
        <f aca="false">B42*'Correction factors'!$B$7</f>
        <v>0</v>
      </c>
      <c r="D42" s="13" t="n">
        <v>1.05893</v>
      </c>
      <c r="E42" s="14" t="n">
        <v>0</v>
      </c>
      <c r="F42" s="10" t="n">
        <f aca="false">E42/'Correction factors'!$B$10</f>
        <v>0</v>
      </c>
      <c r="G42" s="11" t="n">
        <v>475</v>
      </c>
    </row>
    <row r="43" customFormat="false" ht="15" hidden="false" customHeight="false" outlineLevel="0" collapsed="false">
      <c r="A43" s="10" t="n">
        <v>9.61958479881287</v>
      </c>
      <c r="B43" s="11" t="n">
        <v>0</v>
      </c>
      <c r="C43" s="12" t="n">
        <f aca="false">B43*'Correction factors'!$B$7</f>
        <v>0</v>
      </c>
      <c r="D43" s="13" t="n">
        <v>1.166967</v>
      </c>
      <c r="E43" s="14" t="n">
        <v>0</v>
      </c>
      <c r="F43" s="10" t="n">
        <f aca="false">E43/'Correction factors'!$B$10</f>
        <v>0</v>
      </c>
      <c r="G43" s="11" t="n">
        <v>485</v>
      </c>
    </row>
    <row r="44" customFormat="false" ht="15" hidden="false" customHeight="false" outlineLevel="0" collapsed="false">
      <c r="A44" s="10" t="n">
        <v>9.61958479881287</v>
      </c>
      <c r="B44" s="11" t="n">
        <v>0</v>
      </c>
      <c r="C44" s="12" t="n">
        <f aca="false">B44*'Correction factors'!$B$7</f>
        <v>0</v>
      </c>
      <c r="D44" s="13" t="n">
        <v>1.716976</v>
      </c>
      <c r="E44" s="14" t="n">
        <v>136</v>
      </c>
      <c r="F44" s="10" t="n">
        <f aca="false">E44/'Correction factors'!$B$10</f>
        <v>10.9684</v>
      </c>
      <c r="G44" s="11" t="n">
        <v>488</v>
      </c>
    </row>
    <row r="45" customFormat="false" ht="15" hidden="false" customHeight="false" outlineLevel="0" collapsed="false">
      <c r="A45" s="10" t="n">
        <v>10.0469672679901</v>
      </c>
      <c r="B45" s="11" t="n">
        <v>0</v>
      </c>
      <c r="C45" s="12" t="n">
        <f aca="false">B45*'Correction factors'!$B$7</f>
        <v>0</v>
      </c>
      <c r="D45" s="13" t="n">
        <v>1.825014</v>
      </c>
      <c r="E45" s="14" t="n">
        <v>304</v>
      </c>
      <c r="F45" s="10" t="n">
        <f aca="false">E45/'Correction factors'!$B$10</f>
        <v>24.5176</v>
      </c>
      <c r="G45" s="11" t="n">
        <v>497</v>
      </c>
    </row>
    <row r="46" customFormat="false" ht="15" hidden="false" customHeight="false" outlineLevel="0" collapsed="false">
      <c r="A46" s="10" t="n">
        <v>10.0469672679901</v>
      </c>
      <c r="B46" s="11" t="n">
        <v>0</v>
      </c>
      <c r="C46" s="12" t="n">
        <f aca="false">B46*'Correction factors'!$B$7</f>
        <v>0</v>
      </c>
      <c r="D46" s="13" t="n">
        <v>1.952695</v>
      </c>
      <c r="E46" s="14" t="n">
        <v>360</v>
      </c>
      <c r="F46" s="10" t="n">
        <f aca="false">E46/'Correction factors'!$B$10</f>
        <v>29.034</v>
      </c>
      <c r="G46" s="11" t="n">
        <v>499</v>
      </c>
    </row>
    <row r="47" customFormat="false" ht="15" hidden="false" customHeight="false" outlineLevel="0" collapsed="false">
      <c r="A47" s="10" t="n">
        <v>10.481995344162</v>
      </c>
      <c r="B47" s="11" t="n">
        <v>0</v>
      </c>
      <c r="C47" s="12" t="n">
        <f aca="false">B47*'Correction factors'!$B$7</f>
        <v>0</v>
      </c>
      <c r="D47" s="13" t="n">
        <v>2.070554</v>
      </c>
      <c r="E47" s="14" t="n">
        <v>392</v>
      </c>
      <c r="F47" s="10" t="n">
        <f aca="false">E47/'Correction factors'!$B$10</f>
        <v>31.6148</v>
      </c>
      <c r="G47" s="11" t="n">
        <v>509</v>
      </c>
    </row>
    <row r="48" customFormat="false" ht="15" hidden="false" customHeight="false" outlineLevel="0" collapsed="false">
      <c r="A48" s="10" t="n">
        <v>10.481995344162</v>
      </c>
      <c r="B48" s="11" t="n">
        <v>0</v>
      </c>
      <c r="C48" s="12" t="n">
        <f aca="false">B48*'Correction factors'!$B$7</f>
        <v>0</v>
      </c>
      <c r="D48" s="13" t="n">
        <v>2.16877</v>
      </c>
      <c r="E48" s="14" t="n">
        <v>432</v>
      </c>
      <c r="F48" s="10" t="n">
        <f aca="false">E48/'Correction factors'!$B$10</f>
        <v>34.8408</v>
      </c>
      <c r="G48" s="11" t="n">
        <v>510</v>
      </c>
    </row>
    <row r="49" customFormat="false" ht="15" hidden="false" customHeight="false" outlineLevel="0" collapsed="false">
      <c r="A49" s="10" t="n">
        <v>10.9245116710663</v>
      </c>
      <c r="B49" s="11" t="n">
        <v>20</v>
      </c>
      <c r="C49" s="12" t="n">
        <f aca="false">B49*'Correction factors'!$B$7</f>
        <v>96.78</v>
      </c>
      <c r="D49" s="13" t="n">
        <v>2.257164</v>
      </c>
      <c r="E49" s="14" t="n">
        <v>448</v>
      </c>
      <c r="F49" s="10" t="n">
        <f aca="false">E49/'Correction factors'!$B$10</f>
        <v>36.1312</v>
      </c>
      <c r="G49" s="11" t="n">
        <v>510</v>
      </c>
    </row>
    <row r="50" customFormat="false" ht="15" hidden="false" customHeight="false" outlineLevel="0" collapsed="false">
      <c r="A50" s="10" t="n">
        <v>10.9245116710663</v>
      </c>
      <c r="B50" s="11" t="n">
        <v>420</v>
      </c>
      <c r="C50" s="12" t="n">
        <f aca="false">B50*'Correction factors'!$B$7</f>
        <v>2032.38</v>
      </c>
      <c r="D50" s="13" t="n">
        <v>2.345559</v>
      </c>
      <c r="E50" s="14" t="n">
        <v>472</v>
      </c>
      <c r="F50" s="10" t="n">
        <f aca="false">E50/'Correction factors'!$B$10</f>
        <v>38.0668</v>
      </c>
      <c r="G50" s="11" t="n">
        <v>508</v>
      </c>
    </row>
    <row r="51" customFormat="false" ht="15" hidden="false" customHeight="false" outlineLevel="0" collapsed="false">
      <c r="A51" s="10" t="n">
        <v>10.9245116710663</v>
      </c>
      <c r="B51" s="11" t="n">
        <v>540</v>
      </c>
      <c r="C51" s="12" t="n">
        <f aca="false">B51*'Correction factors'!$B$7</f>
        <v>2613.06</v>
      </c>
      <c r="D51" s="13" t="n">
        <v>2.404488</v>
      </c>
      <c r="E51" s="14" t="n">
        <v>496</v>
      </c>
      <c r="F51" s="10" t="n">
        <f aca="false">E51/'Correction factors'!$B$10</f>
        <v>40.0024</v>
      </c>
      <c r="G51" s="11" t="n">
        <v>456</v>
      </c>
    </row>
    <row r="52" customFormat="false" ht="15" hidden="false" customHeight="false" outlineLevel="0" collapsed="false">
      <c r="A52" s="10" t="n">
        <v>11.4695594310761</v>
      </c>
      <c r="B52" s="11" t="n">
        <v>440</v>
      </c>
      <c r="C52" s="12" t="n">
        <f aca="false">B52*'Correction factors'!$B$7</f>
        <v>2129.16</v>
      </c>
      <c r="D52" s="13" t="n">
        <v>3.160751</v>
      </c>
      <c r="E52" s="14" t="n">
        <v>416</v>
      </c>
      <c r="F52" s="10" t="n">
        <f aca="false">E52/'Correction factors'!$B$10</f>
        <v>33.5504</v>
      </c>
      <c r="G52" s="11" t="n">
        <v>313</v>
      </c>
    </row>
    <row r="53" customFormat="false" ht="15" hidden="false" customHeight="false" outlineLevel="0" collapsed="false">
      <c r="A53" s="10" t="n">
        <v>11.4695594310761</v>
      </c>
      <c r="B53" s="11" t="n">
        <v>20</v>
      </c>
      <c r="C53" s="12" t="n">
        <f aca="false">B53*'Correction factors'!$B$7</f>
        <v>96.78</v>
      </c>
      <c r="D53" s="13" t="n">
        <v>3.514328</v>
      </c>
      <c r="E53" s="14" t="n">
        <v>80</v>
      </c>
      <c r="F53" s="10" t="n">
        <f aca="false">E53/'Correction factors'!$B$10</f>
        <v>6.452</v>
      </c>
      <c r="G53" s="11" t="n">
        <v>319</v>
      </c>
    </row>
    <row r="54" customFormat="false" ht="15" hidden="false" customHeight="false" outlineLevel="0" collapsed="false">
      <c r="A54" s="10" t="n">
        <v>11.904892206192</v>
      </c>
      <c r="B54" s="11" t="n">
        <v>20</v>
      </c>
      <c r="C54" s="12" t="n">
        <f aca="false">B54*'Correction factors'!$B$7</f>
        <v>96.78</v>
      </c>
      <c r="D54" s="13" t="n">
        <v>3.52415</v>
      </c>
      <c r="E54" s="14" t="n">
        <v>16</v>
      </c>
      <c r="F54" s="10" t="n">
        <f aca="false">E54/'Correction factors'!$B$10</f>
        <v>1.2904</v>
      </c>
      <c r="G54" s="11" t="n">
        <v>458</v>
      </c>
    </row>
    <row r="55" customFormat="false" ht="15" hidden="false" customHeight="false" outlineLevel="0" collapsed="false">
      <c r="A55" s="10" t="n">
        <v>11.904892206192</v>
      </c>
      <c r="B55" s="11" t="n">
        <v>460</v>
      </c>
      <c r="C55" s="12" t="n">
        <f aca="false">B55*'Correction factors'!$B$7</f>
        <v>2225.94</v>
      </c>
      <c r="D55" s="13" t="n">
        <v>3.258967</v>
      </c>
      <c r="E55" s="14" t="n">
        <v>344</v>
      </c>
      <c r="F55" s="10" t="n">
        <f aca="false">E55/'Correction factors'!$B$10</f>
        <v>27.7436</v>
      </c>
      <c r="G55" s="11" t="n">
        <v>458</v>
      </c>
    </row>
    <row r="56" customFormat="false" ht="15" hidden="false" customHeight="false" outlineLevel="0" collapsed="false">
      <c r="A56" s="10" t="n">
        <v>12.3384325504303</v>
      </c>
      <c r="B56" s="11" t="n">
        <v>700</v>
      </c>
      <c r="C56" s="12" t="n">
        <f aca="false">B56*'Correction factors'!$B$7</f>
        <v>3387.3</v>
      </c>
      <c r="D56" s="13" t="n">
        <v>3.268789</v>
      </c>
      <c r="E56" s="14" t="n">
        <v>544</v>
      </c>
      <c r="F56" s="10" t="n">
        <f aca="false">E56/'Correction factors'!$B$10</f>
        <v>43.8736</v>
      </c>
      <c r="G56" s="11" t="n">
        <v>304</v>
      </c>
    </row>
    <row r="57" customFormat="false" ht="15" hidden="false" customHeight="false" outlineLevel="0" collapsed="false">
      <c r="A57" s="10" t="n">
        <v>12.3384325504303</v>
      </c>
      <c r="B57" s="11" t="n">
        <v>260</v>
      </c>
      <c r="C57" s="12" t="n">
        <f aca="false">B57*'Correction factors'!$B$7</f>
        <v>1258.14</v>
      </c>
      <c r="D57" s="13" t="n">
        <v>4.005408</v>
      </c>
      <c r="E57" s="14" t="n">
        <v>280</v>
      </c>
      <c r="F57" s="10" t="n">
        <f aca="false">E57/'Correction factors'!$B$10</f>
        <v>22.582</v>
      </c>
      <c r="G57" s="11" t="n">
        <v>291</v>
      </c>
    </row>
    <row r="58" customFormat="false" ht="15" hidden="false" customHeight="false" outlineLevel="0" collapsed="false">
      <c r="A58" s="10" t="n">
        <v>12.7874131202698</v>
      </c>
      <c r="B58" s="11" t="n">
        <v>0</v>
      </c>
      <c r="C58" s="12" t="n">
        <f aca="false">B58*'Correction factors'!$B$7</f>
        <v>0</v>
      </c>
      <c r="D58" s="13" t="n">
        <v>4.358986</v>
      </c>
      <c r="E58" s="14" t="n">
        <v>32</v>
      </c>
      <c r="F58" s="10" t="n">
        <f aca="false">E58/'Correction factors'!$B$10</f>
        <v>2.5808</v>
      </c>
      <c r="G58" s="11" t="n">
        <v>319</v>
      </c>
    </row>
    <row r="59" customFormat="false" ht="15" hidden="false" customHeight="false" outlineLevel="0" collapsed="false">
      <c r="A59" s="10" t="n">
        <v>12.7874131202698</v>
      </c>
      <c r="B59" s="11" t="n">
        <v>0</v>
      </c>
      <c r="C59" s="12" t="n">
        <f aca="false">B59*'Correction factors'!$B$7</f>
        <v>0</v>
      </c>
      <c r="D59" s="13" t="n">
        <v>4.673276</v>
      </c>
      <c r="E59" s="14" t="n">
        <v>0</v>
      </c>
      <c r="F59" s="10" t="n">
        <f aca="false">E59/'Correction factors'!$B$10</f>
        <v>0</v>
      </c>
      <c r="G59" s="11" t="n">
        <v>334</v>
      </c>
    </row>
    <row r="60" customFormat="false" ht="15" hidden="false" customHeight="false" outlineLevel="0" collapsed="false">
      <c r="A60" s="10" t="n">
        <v>13.2313268184662</v>
      </c>
      <c r="B60" s="11" t="n">
        <v>0</v>
      </c>
      <c r="C60" s="12" t="n">
        <f aca="false">B60*'Correction factors'!$B$7</f>
        <v>0</v>
      </c>
      <c r="D60" s="13" t="n">
        <v>4.928638</v>
      </c>
      <c r="E60" s="14" t="n">
        <v>0</v>
      </c>
      <c r="F60" s="10" t="n">
        <f aca="false">E60/'Correction factors'!$B$10</f>
        <v>0</v>
      </c>
      <c r="G60" s="11" t="n">
        <v>412</v>
      </c>
    </row>
    <row r="61" customFormat="false" ht="15" hidden="false" customHeight="false" outlineLevel="0" collapsed="false">
      <c r="A61" s="10" t="n">
        <v>13.2313268184662</v>
      </c>
      <c r="B61" s="11" t="n">
        <v>280</v>
      </c>
      <c r="C61" s="12" t="n">
        <f aca="false">B61*'Correction factors'!$B$7</f>
        <v>1354.92</v>
      </c>
      <c r="D61" s="13" t="n">
        <v>4.575061</v>
      </c>
      <c r="E61" s="14" t="n">
        <v>224</v>
      </c>
      <c r="F61" s="10" t="n">
        <f aca="false">E61/'Correction factors'!$B$10</f>
        <v>18.0656</v>
      </c>
      <c r="G61" s="11" t="n">
        <v>414</v>
      </c>
    </row>
    <row r="62" customFormat="false" ht="15" hidden="false" customHeight="false" outlineLevel="0" collapsed="false">
      <c r="A62" s="10" t="n">
        <v>13.2313268184662</v>
      </c>
      <c r="B62" s="11" t="n">
        <v>740</v>
      </c>
      <c r="C62" s="12" t="n">
        <f aca="false">B62*'Correction factors'!$B$7</f>
        <v>3580.86</v>
      </c>
      <c r="D62" s="13" t="n">
        <v>4.427737</v>
      </c>
      <c r="E62" s="14" t="n">
        <v>432</v>
      </c>
      <c r="F62" s="10" t="n">
        <f aca="false">E62/'Correction factors'!$B$10</f>
        <v>34.8408</v>
      </c>
      <c r="G62" s="11" t="n">
        <v>396</v>
      </c>
    </row>
    <row r="63" customFormat="false" ht="15" hidden="false" customHeight="false" outlineLevel="0" collapsed="false">
      <c r="A63" s="10" t="n">
        <v>13.7132844924927</v>
      </c>
      <c r="B63" s="11" t="n">
        <v>480</v>
      </c>
      <c r="C63" s="12" t="n">
        <f aca="false">B63*'Correction factors'!$B$7</f>
        <v>2322.72</v>
      </c>
      <c r="D63" s="13" t="n">
        <v>4.938459</v>
      </c>
      <c r="E63" s="14" t="n">
        <v>320</v>
      </c>
      <c r="F63" s="10" t="n">
        <f aca="false">E63/'Correction factors'!$B$10</f>
        <v>25.808</v>
      </c>
      <c r="G63" s="11" t="n">
        <v>200</v>
      </c>
    </row>
    <row r="64" customFormat="false" ht="15" hidden="false" customHeight="false" outlineLevel="0" collapsed="false">
      <c r="A64" s="10" t="n">
        <v>13.7132844924927</v>
      </c>
      <c r="B64" s="11" t="n">
        <v>20</v>
      </c>
      <c r="C64" s="12" t="n">
        <f aca="false">B64*'Correction factors'!$B$7</f>
        <v>96.78</v>
      </c>
      <c r="D64" s="13" t="n">
        <v>5.331323</v>
      </c>
      <c r="E64" s="14" t="n">
        <v>24</v>
      </c>
      <c r="F64" s="10" t="n">
        <f aca="false">E64/'Correction factors'!$B$10</f>
        <v>1.9356</v>
      </c>
      <c r="G64" s="11" t="n">
        <v>201</v>
      </c>
    </row>
    <row r="65" customFormat="false" ht="15" hidden="false" customHeight="false" outlineLevel="0" collapsed="false">
      <c r="A65" s="10" t="n">
        <v>14.1635258197784</v>
      </c>
      <c r="B65" s="11" t="n">
        <v>0</v>
      </c>
      <c r="C65" s="12" t="n">
        <f aca="false">B65*'Correction factors'!$B$7</f>
        <v>0</v>
      </c>
      <c r="D65" s="13" t="n">
        <v>5.61615</v>
      </c>
      <c r="E65" s="14" t="n">
        <v>0</v>
      </c>
      <c r="F65" s="10" t="n">
        <f aca="false">E65/'Correction factors'!$B$10</f>
        <v>0</v>
      </c>
      <c r="G65" s="11" t="n">
        <v>342</v>
      </c>
    </row>
    <row r="66" customFormat="false" ht="15" hidden="false" customHeight="false" outlineLevel="0" collapsed="false">
      <c r="A66" s="10" t="n">
        <v>14.1635258197784</v>
      </c>
      <c r="B66" s="11" t="n">
        <v>60</v>
      </c>
      <c r="C66" s="12" t="n">
        <f aca="false">B66*'Correction factors'!$B$7</f>
        <v>290.34</v>
      </c>
      <c r="D66" s="13" t="n">
        <v>5.694722</v>
      </c>
      <c r="E66" s="14" t="n">
        <v>32</v>
      </c>
      <c r="F66" s="10" t="n">
        <f aca="false">E66/'Correction factors'!$B$10</f>
        <v>2.5808</v>
      </c>
      <c r="G66" s="11" t="n">
        <v>347</v>
      </c>
    </row>
    <row r="67" customFormat="false" ht="15" hidden="false" customHeight="false" outlineLevel="0" collapsed="false">
      <c r="A67" s="10" t="n">
        <v>14.6236546039581</v>
      </c>
      <c r="B67" s="11" t="n">
        <v>180</v>
      </c>
      <c r="C67" s="12" t="n">
        <f aca="false">B67*'Correction factors'!$B$7</f>
        <v>871.02</v>
      </c>
      <c r="D67" s="13" t="n">
        <v>5.812582</v>
      </c>
      <c r="E67" s="14" t="n">
        <v>64</v>
      </c>
      <c r="F67" s="10" t="n">
        <f aca="false">E67/'Correction factors'!$B$10</f>
        <v>5.1616</v>
      </c>
      <c r="G67" s="11" t="n">
        <v>335</v>
      </c>
    </row>
    <row r="68" customFormat="false" ht="15" hidden="false" customHeight="false" outlineLevel="0" collapsed="false">
      <c r="A68" s="10" t="n">
        <v>14.6236546039581</v>
      </c>
      <c r="B68" s="11" t="n">
        <v>200</v>
      </c>
      <c r="C68" s="12" t="n">
        <f aca="false">B68*'Correction factors'!$B$7</f>
        <v>967.8</v>
      </c>
      <c r="D68" s="13" t="n">
        <v>5.92062</v>
      </c>
      <c r="E68" s="14" t="n">
        <v>64</v>
      </c>
      <c r="F68" s="10" t="n">
        <f aca="false">E68/'Correction factors'!$B$10</f>
        <v>5.1616</v>
      </c>
      <c r="G68" s="11" t="n">
        <v>317</v>
      </c>
    </row>
    <row r="69" customFormat="false" ht="15" hidden="false" customHeight="false" outlineLevel="0" collapsed="false">
      <c r="A69" s="10" t="n">
        <v>15.0910518169403</v>
      </c>
      <c r="B69" s="11" t="n">
        <v>200</v>
      </c>
      <c r="C69" s="12" t="n">
        <f aca="false">B69*'Correction factors'!$B$7</f>
        <v>967.8</v>
      </c>
      <c r="D69" s="13" t="n">
        <v>6.136694</v>
      </c>
      <c r="E69" s="14" t="n">
        <v>64</v>
      </c>
      <c r="F69" s="10" t="n">
        <f aca="false">E69/'Correction factors'!$B$10</f>
        <v>5.1616</v>
      </c>
      <c r="G69" s="11" t="n">
        <v>283</v>
      </c>
    </row>
    <row r="70" customFormat="false" ht="15" hidden="false" customHeight="false" outlineLevel="0" collapsed="false">
      <c r="A70" s="10" t="n">
        <v>15.0910518169403</v>
      </c>
      <c r="B70" s="11" t="n">
        <v>20</v>
      </c>
      <c r="C70" s="12" t="n">
        <f aca="false">B70*'Correction factors'!$B$7</f>
        <v>96.78</v>
      </c>
      <c r="D70" s="13" t="n">
        <v>6.382234</v>
      </c>
      <c r="E70" s="14" t="n">
        <v>24</v>
      </c>
      <c r="F70" s="10" t="n">
        <f aca="false">E70/'Correction factors'!$B$10</f>
        <v>1.9356</v>
      </c>
      <c r="G70" s="11" t="n">
        <v>284</v>
      </c>
    </row>
    <row r="71" customFormat="false" ht="15" hidden="false" customHeight="false" outlineLevel="0" collapsed="false">
      <c r="A71" s="10" t="n">
        <v>15.0910518169403</v>
      </c>
      <c r="B71" s="11" t="n">
        <v>0</v>
      </c>
      <c r="C71" s="12" t="n">
        <f aca="false">B71*'Correction factors'!$B$7</f>
        <v>0</v>
      </c>
      <c r="D71" s="13" t="n">
        <v>6.598309</v>
      </c>
      <c r="E71" s="14" t="n">
        <v>0</v>
      </c>
      <c r="F71" s="10" t="n">
        <f aca="false">E71/'Correction factors'!$B$10</f>
        <v>0</v>
      </c>
      <c r="G71" s="11" t="n">
        <v>316</v>
      </c>
    </row>
    <row r="72" customFormat="false" ht="15" hidden="false" customHeight="false" outlineLevel="0" collapsed="false">
      <c r="A72" s="10" t="n">
        <v>15.6203355789185</v>
      </c>
      <c r="B72" s="11" t="n">
        <v>40</v>
      </c>
      <c r="C72" s="12" t="n">
        <f aca="false">B72*'Correction factors'!$B$7</f>
        <v>193.56</v>
      </c>
      <c r="D72" s="13" t="n">
        <v>6.60813</v>
      </c>
      <c r="E72" s="14" t="n">
        <v>24</v>
      </c>
      <c r="F72" s="10" t="n">
        <f aca="false">E72/'Correction factors'!$B$10</f>
        <v>1.9356</v>
      </c>
      <c r="G72" s="11" t="n">
        <v>350</v>
      </c>
    </row>
    <row r="73" customFormat="false" ht="15" hidden="false" customHeight="false" outlineLevel="0" collapsed="false">
      <c r="A73" s="10" t="n">
        <v>15.6203355789185</v>
      </c>
      <c r="B73" s="11" t="n">
        <v>320</v>
      </c>
      <c r="C73" s="12" t="n">
        <f aca="false">B73*'Correction factors'!$B$7</f>
        <v>1548.48</v>
      </c>
      <c r="D73" s="13" t="n">
        <v>6.588488</v>
      </c>
      <c r="E73" s="14" t="n">
        <v>80</v>
      </c>
      <c r="F73" s="10" t="n">
        <f aca="false">E73/'Correction factors'!$B$10</f>
        <v>6.452</v>
      </c>
      <c r="G73" s="11" t="n">
        <v>345</v>
      </c>
    </row>
    <row r="74" customFormat="false" ht="15" hidden="false" customHeight="false" outlineLevel="0" collapsed="false">
      <c r="A74" s="10" t="n">
        <v>16.0671558380127</v>
      </c>
      <c r="B74" s="11" t="n">
        <v>300</v>
      </c>
      <c r="C74" s="12" t="n">
        <f aca="false">B74*'Correction factors'!$B$7</f>
        <v>1451.7</v>
      </c>
      <c r="D74" s="13" t="n">
        <v>6.66706</v>
      </c>
      <c r="E74" s="14" t="n">
        <v>104</v>
      </c>
      <c r="F74" s="10" t="n">
        <f aca="false">E74/'Correction factors'!$B$10</f>
        <v>8.3876</v>
      </c>
      <c r="G74" s="11" t="n">
        <v>242</v>
      </c>
    </row>
    <row r="75" customFormat="false" ht="15" hidden="false" customHeight="false" outlineLevel="0" collapsed="false">
      <c r="A75" s="10" t="n">
        <v>16.0671558380127</v>
      </c>
      <c r="B75" s="11" t="n">
        <v>40</v>
      </c>
      <c r="C75" s="12" t="n">
        <f aca="false">B75*'Correction factors'!$B$7</f>
        <v>193.56</v>
      </c>
      <c r="D75" s="13" t="n">
        <v>6.932243</v>
      </c>
      <c r="E75" s="14" t="n">
        <v>32</v>
      </c>
      <c r="F75" s="10" t="n">
        <f aca="false">E75/'Correction factors'!$B$10</f>
        <v>2.5808</v>
      </c>
      <c r="G75" s="11" t="n">
        <v>242</v>
      </c>
    </row>
    <row r="76" customFormat="false" ht="15" hidden="false" customHeight="false" outlineLevel="0" collapsed="false">
      <c r="A76" s="10" t="n">
        <v>16.5167243480682</v>
      </c>
      <c r="B76" s="11" t="n">
        <v>0</v>
      </c>
      <c r="C76" s="12" t="n">
        <f aca="false">B76*'Correction factors'!$B$7</f>
        <v>0</v>
      </c>
      <c r="D76" s="13" t="n">
        <v>7.15814</v>
      </c>
      <c r="E76" s="14" t="n">
        <v>0</v>
      </c>
      <c r="F76" s="10" t="n">
        <f aca="false">E76/'Correction factors'!$B$10</f>
        <v>0</v>
      </c>
      <c r="G76" s="11" t="n">
        <v>319</v>
      </c>
    </row>
    <row r="77" customFormat="false" ht="15" hidden="false" customHeight="false" outlineLevel="0" collapsed="false">
      <c r="A77" s="10" t="n">
        <v>16.5167243480682</v>
      </c>
      <c r="B77" s="11" t="n">
        <v>0</v>
      </c>
      <c r="C77" s="12" t="n">
        <f aca="false">B77*'Correction factors'!$B$7</f>
        <v>0</v>
      </c>
      <c r="D77" s="13" t="n">
        <v>7.21707</v>
      </c>
      <c r="E77" s="14" t="n">
        <v>0</v>
      </c>
      <c r="F77" s="10" t="n">
        <f aca="false">E77/'Correction factors'!$B$10</f>
        <v>0</v>
      </c>
      <c r="G77" s="11" t="n">
        <v>327</v>
      </c>
    </row>
    <row r="78" customFormat="false" ht="15" hidden="false" customHeight="false" outlineLevel="0" collapsed="false">
      <c r="A78" s="10" t="n">
        <v>16.5167243480682</v>
      </c>
      <c r="B78" s="11" t="n">
        <v>0</v>
      </c>
      <c r="C78" s="12" t="n">
        <f aca="false">B78*'Correction factors'!$B$7</f>
        <v>0</v>
      </c>
      <c r="D78" s="13" t="n">
        <v>7.295642</v>
      </c>
      <c r="E78" s="14" t="n">
        <v>8</v>
      </c>
      <c r="F78" s="10" t="n">
        <f aca="false">E78/'Correction factors'!$B$10</f>
        <v>0.6452</v>
      </c>
      <c r="G78" s="11" t="n">
        <v>349</v>
      </c>
    </row>
    <row r="79" customFormat="false" ht="15" hidden="false" customHeight="false" outlineLevel="0" collapsed="false">
      <c r="A79" s="10" t="n">
        <v>17.033518075943</v>
      </c>
      <c r="B79" s="11" t="n">
        <v>100</v>
      </c>
      <c r="C79" s="12" t="n">
        <f aca="false">B79*'Correction factors'!$B$7</f>
        <v>483.9</v>
      </c>
      <c r="D79" s="13" t="n">
        <v>7.236713</v>
      </c>
      <c r="E79" s="14" t="n">
        <v>24</v>
      </c>
      <c r="F79" s="10" t="n">
        <f aca="false">E79/'Correction factors'!$B$10</f>
        <v>1.9356</v>
      </c>
      <c r="G79" s="11" t="n">
        <v>349</v>
      </c>
    </row>
    <row r="80" customFormat="false" ht="15" hidden="false" customHeight="false" outlineLevel="0" collapsed="false">
      <c r="A80" s="10" t="n">
        <v>17.033518075943</v>
      </c>
      <c r="B80" s="11" t="n">
        <v>200</v>
      </c>
      <c r="C80" s="12" t="n">
        <f aca="false">B80*'Correction factors'!$B$7</f>
        <v>967.8</v>
      </c>
      <c r="D80" s="13" t="n">
        <v>7.207248</v>
      </c>
      <c r="E80" s="14" t="n">
        <v>48</v>
      </c>
      <c r="F80" s="10" t="n">
        <f aca="false">E80/'Correction factors'!$B$10</f>
        <v>3.8712</v>
      </c>
      <c r="G80" s="11" t="n">
        <v>339</v>
      </c>
    </row>
    <row r="81" customFormat="false" ht="15" hidden="false" customHeight="false" outlineLevel="0" collapsed="false">
      <c r="A81" s="10" t="n">
        <v>17.4843657016754</v>
      </c>
      <c r="B81" s="11" t="n">
        <v>160</v>
      </c>
      <c r="C81" s="12" t="n">
        <f aca="false">B81*'Correction factors'!$B$7</f>
        <v>774.24</v>
      </c>
      <c r="D81" s="13" t="n">
        <v>7.246534</v>
      </c>
      <c r="E81" s="14" t="n">
        <v>48</v>
      </c>
      <c r="F81" s="10" t="n">
        <f aca="false">E81/'Correction factors'!$B$10</f>
        <v>3.8712</v>
      </c>
      <c r="G81" s="11" t="n">
        <v>283</v>
      </c>
    </row>
    <row r="82" customFormat="false" ht="15" hidden="false" customHeight="false" outlineLevel="0" collapsed="false">
      <c r="A82" s="10" t="n">
        <v>17.4843657016754</v>
      </c>
      <c r="B82" s="11" t="n">
        <v>0</v>
      </c>
      <c r="C82" s="12" t="n">
        <f aca="false">B82*'Correction factors'!$B$7</f>
        <v>0</v>
      </c>
      <c r="D82" s="13" t="n">
        <v>7.364394</v>
      </c>
      <c r="E82" s="14" t="n">
        <v>8</v>
      </c>
      <c r="F82" s="10" t="n">
        <f aca="false">E82/'Correction factors'!$B$10</f>
        <v>0.6452</v>
      </c>
      <c r="G82" s="11" t="n">
        <v>289</v>
      </c>
    </row>
    <row r="83" customFormat="false" ht="15" hidden="false" customHeight="false" outlineLevel="0" collapsed="false">
      <c r="A83" s="10" t="n">
        <v>17.9503102302551</v>
      </c>
      <c r="B83" s="11" t="n">
        <v>0</v>
      </c>
      <c r="C83" s="12" t="n">
        <f aca="false">B83*'Correction factors'!$B$7</f>
        <v>0</v>
      </c>
      <c r="D83" s="13" t="n">
        <v>7.433145</v>
      </c>
      <c r="E83" s="14" t="n">
        <v>0</v>
      </c>
      <c r="F83" s="10" t="n">
        <f aca="false">E83/'Correction factors'!$B$10</f>
        <v>0</v>
      </c>
      <c r="G83" s="11" t="n">
        <v>345</v>
      </c>
    </row>
    <row r="84" customFormat="false" ht="15" hidden="false" customHeight="false" outlineLevel="0" collapsed="false">
      <c r="A84" s="10" t="n">
        <v>17.9503102302551</v>
      </c>
      <c r="B84" s="11" t="n">
        <v>140</v>
      </c>
      <c r="C84" s="12" t="n">
        <f aca="false">B84*'Correction factors'!$B$7</f>
        <v>677.46</v>
      </c>
      <c r="D84" s="13" t="n">
        <v>7.305464</v>
      </c>
      <c r="E84" s="14" t="n">
        <v>48</v>
      </c>
      <c r="F84" s="10" t="n">
        <f aca="false">E84/'Correction factors'!$B$10</f>
        <v>3.8712</v>
      </c>
      <c r="G84" s="11" t="n">
        <v>347</v>
      </c>
    </row>
    <row r="85" customFormat="false" ht="15" hidden="false" customHeight="false" outlineLevel="0" collapsed="false">
      <c r="A85" s="10" t="n">
        <v>18.4206697940826</v>
      </c>
      <c r="B85" s="11" t="n">
        <v>280</v>
      </c>
      <c r="C85" s="12" t="n">
        <f aca="false">B85*'Correction factors'!$B$7</f>
        <v>1354.92</v>
      </c>
      <c r="D85" s="13" t="n">
        <v>7.197427</v>
      </c>
      <c r="E85" s="14" t="n">
        <v>72</v>
      </c>
      <c r="F85" s="10" t="n">
        <f aca="false">E85/'Correction factors'!$B$10</f>
        <v>5.8068</v>
      </c>
      <c r="G85" s="11" t="n">
        <v>305</v>
      </c>
    </row>
    <row r="86" customFormat="false" ht="15" hidden="false" customHeight="false" outlineLevel="0" collapsed="false">
      <c r="A86" s="10" t="n">
        <v>18.4206697940826</v>
      </c>
      <c r="B86" s="11" t="n">
        <v>140</v>
      </c>
      <c r="C86" s="12" t="n">
        <f aca="false">B86*'Correction factors'!$B$7</f>
        <v>677.46</v>
      </c>
      <c r="D86" s="13" t="n">
        <v>7.266178</v>
      </c>
      <c r="E86" s="14" t="n">
        <v>56</v>
      </c>
      <c r="F86" s="10" t="n">
        <f aca="false">E86/'Correction factors'!$B$10</f>
        <v>4.5164</v>
      </c>
      <c r="G86" s="11" t="n">
        <v>295</v>
      </c>
    </row>
    <row r="87" customFormat="false" ht="15" hidden="false" customHeight="false" outlineLevel="0" collapsed="false">
      <c r="A87" s="10" t="n">
        <v>18.4206697940826</v>
      </c>
      <c r="B87" s="11" t="n">
        <v>0</v>
      </c>
      <c r="C87" s="12" t="n">
        <f aca="false">B87*'Correction factors'!$B$7</f>
        <v>0</v>
      </c>
      <c r="D87" s="13" t="n">
        <v>7.34475</v>
      </c>
      <c r="E87" s="14" t="n">
        <v>8</v>
      </c>
      <c r="F87" s="10" t="n">
        <f aca="false">E87/'Correction factors'!$B$10</f>
        <v>0.6452</v>
      </c>
      <c r="G87" s="11" t="n">
        <v>290</v>
      </c>
    </row>
    <row r="88" customFormat="false" ht="15" hidden="false" customHeight="false" outlineLevel="0" collapsed="false">
      <c r="A88" s="10" t="n">
        <v>18.9141867160797</v>
      </c>
      <c r="B88" s="11" t="n">
        <v>0</v>
      </c>
      <c r="C88" s="12" t="n">
        <f aca="false">B88*'Correction factors'!$B$7</f>
        <v>0</v>
      </c>
      <c r="D88" s="13" t="n">
        <v>7.34475</v>
      </c>
      <c r="E88" s="14" t="n">
        <v>8</v>
      </c>
      <c r="F88" s="10" t="n">
        <f aca="false">E88/'Correction factors'!$B$10</f>
        <v>0.6452</v>
      </c>
      <c r="G88" s="11" t="n">
        <v>342</v>
      </c>
    </row>
    <row r="89" customFormat="false" ht="15" hidden="false" customHeight="false" outlineLevel="0" collapsed="false">
      <c r="A89" s="10" t="n">
        <v>18.9141867160797</v>
      </c>
      <c r="B89" s="11" t="n">
        <v>0</v>
      </c>
      <c r="C89" s="12" t="n">
        <f aca="false">B89*'Correction factors'!$B$7</f>
        <v>0</v>
      </c>
      <c r="D89" s="13" t="n">
        <v>7.236713</v>
      </c>
      <c r="E89" s="14" t="n">
        <v>48</v>
      </c>
      <c r="F89" s="10" t="n">
        <f aca="false">E89/'Correction factors'!$B$10</f>
        <v>3.8712</v>
      </c>
      <c r="G89" s="11" t="n">
        <v>347</v>
      </c>
    </row>
    <row r="90" customFormat="false" ht="15" hidden="false" customHeight="false" outlineLevel="0" collapsed="false">
      <c r="A90" s="10" t="n">
        <v>19.3861901760101</v>
      </c>
      <c r="B90" s="11" t="n">
        <v>0</v>
      </c>
      <c r="C90" s="12" t="n">
        <f aca="false">B90*'Correction factors'!$B$7</f>
        <v>0</v>
      </c>
      <c r="D90" s="13" t="n">
        <v>7.167962</v>
      </c>
      <c r="E90" s="14" t="n">
        <v>64</v>
      </c>
      <c r="F90" s="10" t="n">
        <f aca="false">E90/'Correction factors'!$B$10</f>
        <v>5.1616</v>
      </c>
      <c r="G90" s="11" t="n">
        <v>355</v>
      </c>
    </row>
    <row r="91" customFormat="false" ht="15" hidden="false" customHeight="false" outlineLevel="0" collapsed="false">
      <c r="A91" s="10" t="n">
        <v>19.3861901760101</v>
      </c>
      <c r="B91" s="11" t="n">
        <v>0</v>
      </c>
      <c r="C91" s="12" t="n">
        <f aca="false">B91*'Correction factors'!$B$7</f>
        <v>0</v>
      </c>
      <c r="D91" s="13" t="n">
        <v>7.079567</v>
      </c>
      <c r="E91" s="14" t="n">
        <v>72</v>
      </c>
      <c r="F91" s="10" t="n">
        <f aca="false">E91/'Correction factors'!$B$10</f>
        <v>5.8068</v>
      </c>
      <c r="G91" s="11" t="n">
        <v>357</v>
      </c>
    </row>
    <row r="92" customFormat="false" ht="15" hidden="false" customHeight="false" outlineLevel="0" collapsed="false">
      <c r="A92" s="10" t="n">
        <v>19.9006381034851</v>
      </c>
      <c r="B92" s="11" t="n">
        <v>0</v>
      </c>
      <c r="C92" s="12" t="n">
        <f aca="false">B92*'Correction factors'!$B$7</f>
        <v>0</v>
      </c>
      <c r="D92" s="13" t="n">
        <v>7.010816</v>
      </c>
      <c r="E92" s="14" t="n">
        <v>80</v>
      </c>
      <c r="F92" s="10" t="n">
        <f aca="false">E92/'Correction factors'!$B$10</f>
        <v>6.452</v>
      </c>
      <c r="G92" s="11" t="n">
        <v>367</v>
      </c>
    </row>
    <row r="93" customFormat="false" ht="15" hidden="false" customHeight="false" outlineLevel="0" collapsed="false">
      <c r="A93" s="10" t="n">
        <v>19.9006381034851</v>
      </c>
      <c r="B93" s="11" t="n">
        <v>0</v>
      </c>
      <c r="C93" s="12" t="n">
        <f aca="false">B93*'Correction factors'!$B$7</f>
        <v>0</v>
      </c>
      <c r="D93" s="13" t="n">
        <v>6.834027</v>
      </c>
      <c r="E93" s="14" t="n">
        <v>112</v>
      </c>
      <c r="F93" s="10" t="n">
        <f aca="false">E93/'Correction factors'!$B$10</f>
        <v>9.0328</v>
      </c>
      <c r="G93" s="11" t="n">
        <v>370</v>
      </c>
    </row>
    <row r="94" customFormat="false" ht="15" hidden="false" customHeight="false" outlineLevel="0" collapsed="false">
      <c r="A94" s="10" t="n">
        <v>19.9006381034851</v>
      </c>
      <c r="B94" s="11" t="n">
        <v>0</v>
      </c>
      <c r="C94" s="12" t="n">
        <f aca="false">B94*'Correction factors'!$B$7</f>
        <v>0</v>
      </c>
      <c r="D94" s="13" t="n">
        <v>6.706347</v>
      </c>
      <c r="E94" s="14" t="n">
        <v>136</v>
      </c>
      <c r="F94" s="10" t="n">
        <f aca="false">E94/'Correction factors'!$B$10</f>
        <v>10.9684</v>
      </c>
      <c r="G94" s="11" t="n">
        <v>375</v>
      </c>
    </row>
    <row r="95" customFormat="false" ht="15" hidden="false" customHeight="false" outlineLevel="0" collapsed="false">
      <c r="A95" s="10" t="n">
        <v>20.4006934165955</v>
      </c>
      <c r="B95" s="11" t="n">
        <v>40</v>
      </c>
      <c r="C95" s="12" t="n">
        <f aca="false">B95*'Correction factors'!$B$7</f>
        <v>193.56</v>
      </c>
      <c r="D95" s="13" t="n">
        <v>6.470628</v>
      </c>
      <c r="E95" s="14" t="n">
        <v>160</v>
      </c>
      <c r="F95" s="10" t="n">
        <f aca="false">E95/'Correction factors'!$B$10</f>
        <v>12.904</v>
      </c>
      <c r="G95" s="11" t="n">
        <v>386</v>
      </c>
    </row>
    <row r="96" customFormat="false" ht="15" hidden="false" customHeight="false" outlineLevel="0" collapsed="false">
      <c r="A96" s="10" t="n">
        <v>20.4006934165955</v>
      </c>
      <c r="B96" s="11" t="n">
        <v>500</v>
      </c>
      <c r="C96" s="12" t="n">
        <f aca="false">B96*'Correction factors'!$B$7</f>
        <v>2419.5</v>
      </c>
      <c r="D96" s="13" t="n">
        <v>6.244732</v>
      </c>
      <c r="E96" s="14" t="n">
        <v>248</v>
      </c>
      <c r="F96" s="10" t="n">
        <f aca="false">E96/'Correction factors'!$B$10</f>
        <v>20.0012</v>
      </c>
      <c r="G96" s="11" t="n">
        <v>381</v>
      </c>
    </row>
    <row r="97" customFormat="false" ht="15" hidden="false" customHeight="false" outlineLevel="0" collapsed="false">
      <c r="A97" s="10" t="n">
        <v>20.8456962108612</v>
      </c>
      <c r="B97" s="11" t="n">
        <v>600</v>
      </c>
      <c r="C97" s="12" t="n">
        <f aca="false">B97*'Correction factors'!$B$7</f>
        <v>2903.4</v>
      </c>
      <c r="D97" s="13" t="n">
        <v>6.087586</v>
      </c>
      <c r="E97" s="14" t="n">
        <v>256</v>
      </c>
      <c r="F97" s="10" t="n">
        <f aca="false">E97/'Correction factors'!$B$10</f>
        <v>20.6464</v>
      </c>
      <c r="G97" s="11" t="n">
        <v>210</v>
      </c>
    </row>
    <row r="98" customFormat="false" ht="15" hidden="false" customHeight="false" outlineLevel="0" collapsed="false">
      <c r="A98" s="10" t="n">
        <v>20.8456962108612</v>
      </c>
      <c r="B98" s="11" t="n">
        <v>180</v>
      </c>
      <c r="C98" s="12" t="n">
        <f aca="false">B98*'Correction factors'!$B$7</f>
        <v>871.02</v>
      </c>
      <c r="D98" s="13" t="n">
        <v>6.431342</v>
      </c>
      <c r="E98" s="14" t="n">
        <v>96</v>
      </c>
      <c r="F98" s="10" t="n">
        <f aca="false">E98/'Correction factors'!$B$10</f>
        <v>7.7424</v>
      </c>
      <c r="G98" s="11" t="n">
        <v>206</v>
      </c>
    </row>
    <row r="99" customFormat="false" ht="15" hidden="false" customHeight="false" outlineLevel="0" collapsed="false">
      <c r="A99" s="10" t="n">
        <v>21.3076996803284</v>
      </c>
      <c r="B99" s="11" t="n">
        <v>0</v>
      </c>
      <c r="C99" s="12" t="n">
        <f aca="false">B99*'Correction factors'!$B$7</f>
        <v>0</v>
      </c>
      <c r="D99" s="13" t="n">
        <v>6.66706</v>
      </c>
      <c r="E99" s="14" t="n">
        <v>8</v>
      </c>
      <c r="F99" s="10" t="n">
        <f aca="false">E99/'Correction factors'!$B$10</f>
        <v>0.6452</v>
      </c>
      <c r="G99" s="11" t="n">
        <v>273</v>
      </c>
    </row>
    <row r="100" customFormat="false" ht="15" hidden="false" customHeight="false" outlineLevel="0" collapsed="false">
      <c r="A100" s="10" t="n">
        <v>21.3076996803284</v>
      </c>
      <c r="B100" s="11" t="n">
        <v>0</v>
      </c>
      <c r="C100" s="12" t="n">
        <f aca="false">B100*'Correction factors'!$B$7</f>
        <v>0</v>
      </c>
      <c r="D100" s="13" t="n">
        <v>6.834027</v>
      </c>
      <c r="E100" s="14" t="n">
        <v>0</v>
      </c>
      <c r="F100" s="10" t="n">
        <f aca="false">E100/'Correction factors'!$B$10</f>
        <v>0</v>
      </c>
      <c r="G100" s="11" t="n">
        <v>293</v>
      </c>
    </row>
    <row r="101" customFormat="false" ht="15" hidden="false" customHeight="false" outlineLevel="0" collapsed="false">
      <c r="A101" s="10" t="n">
        <v>21.3076996803284</v>
      </c>
      <c r="B101" s="11" t="n">
        <v>0</v>
      </c>
      <c r="C101" s="12" t="n">
        <f aca="false">B101*'Correction factors'!$B$7</f>
        <v>0</v>
      </c>
      <c r="D101" s="13" t="n">
        <v>6.97153</v>
      </c>
      <c r="E101" s="14" t="n">
        <v>0</v>
      </c>
      <c r="F101" s="10" t="n">
        <f aca="false">E101/'Correction factors'!$B$10</f>
        <v>0</v>
      </c>
      <c r="G101" s="11" t="n">
        <v>324</v>
      </c>
    </row>
    <row r="102" customFormat="false" ht="15" hidden="false" customHeight="false" outlineLevel="0" collapsed="false">
      <c r="A102" s="10" t="n">
        <v>21.8213002681732</v>
      </c>
      <c r="B102" s="11" t="n">
        <v>20</v>
      </c>
      <c r="C102" s="12" t="n">
        <f aca="false">B102*'Correction factors'!$B$7</f>
        <v>96.78</v>
      </c>
      <c r="D102" s="13" t="n">
        <v>6.9126</v>
      </c>
      <c r="E102" s="14" t="n">
        <v>16</v>
      </c>
      <c r="F102" s="10" t="n">
        <f aca="false">E102/'Correction factors'!$B$10</f>
        <v>1.2904</v>
      </c>
      <c r="G102" s="11" t="n">
        <v>347</v>
      </c>
    </row>
    <row r="103" customFormat="false" ht="15" hidden="false" customHeight="false" outlineLevel="0" collapsed="false">
      <c r="A103" s="10" t="n">
        <v>21.8213002681732</v>
      </c>
      <c r="B103" s="11" t="n">
        <v>260</v>
      </c>
      <c r="C103" s="12" t="n">
        <f aca="false">B103*'Correction factors'!$B$7</f>
        <v>1258.14</v>
      </c>
      <c r="D103" s="13" t="n">
        <v>6.814384</v>
      </c>
      <c r="E103" s="14" t="n">
        <v>72</v>
      </c>
      <c r="F103" s="10" t="n">
        <f aca="false">E103/'Correction factors'!$B$10</f>
        <v>5.8068</v>
      </c>
      <c r="G103" s="11" t="n">
        <v>344</v>
      </c>
    </row>
    <row r="104" customFormat="false" ht="15" hidden="false" customHeight="false" outlineLevel="0" collapsed="false">
      <c r="A104" s="10" t="n">
        <v>22.2831995487213</v>
      </c>
      <c r="B104" s="11" t="n">
        <v>280</v>
      </c>
      <c r="C104" s="12" t="n">
        <f aca="false">B104*'Correction factors'!$B$7</f>
        <v>1354.92</v>
      </c>
      <c r="D104" s="13" t="n">
        <v>6.775098</v>
      </c>
      <c r="E104" s="14" t="n">
        <v>88</v>
      </c>
      <c r="F104" s="10" t="n">
        <f aca="false">E104/'Correction factors'!$B$10</f>
        <v>7.0972</v>
      </c>
      <c r="G104" s="11" t="n">
        <v>262</v>
      </c>
    </row>
    <row r="105" customFormat="false" ht="15" hidden="false" customHeight="false" outlineLevel="0" collapsed="false">
      <c r="A105" s="10" t="n">
        <v>22.2831995487213</v>
      </c>
      <c r="B105" s="11" t="n">
        <v>40</v>
      </c>
      <c r="C105" s="12" t="n">
        <f aca="false">B105*'Correction factors'!$B$7</f>
        <v>193.56</v>
      </c>
      <c r="D105" s="13" t="n">
        <v>6.922421</v>
      </c>
      <c r="E105" s="14" t="n">
        <v>40</v>
      </c>
      <c r="F105" s="10" t="n">
        <f aca="false">E105/'Correction factors'!$B$10</f>
        <v>3.226</v>
      </c>
      <c r="G105" s="11" t="n">
        <v>256</v>
      </c>
    </row>
    <row r="106" customFormat="false" ht="15" hidden="false" customHeight="false" outlineLevel="0" collapsed="false">
      <c r="A106" s="10" t="n">
        <v>22.734806060791</v>
      </c>
      <c r="B106" s="11" t="n">
        <v>0</v>
      </c>
      <c r="C106" s="12" t="n">
        <f aca="false">B106*'Correction factors'!$B$7</f>
        <v>0</v>
      </c>
      <c r="D106" s="13" t="n">
        <v>7.050102</v>
      </c>
      <c r="E106" s="14" t="n">
        <v>0</v>
      </c>
      <c r="F106" s="10" t="n">
        <f aca="false">E106/'Correction factors'!$B$10</f>
        <v>0</v>
      </c>
      <c r="G106" s="11" t="n">
        <v>322</v>
      </c>
    </row>
    <row r="107" customFormat="false" ht="15" hidden="false" customHeight="false" outlineLevel="0" collapsed="false">
      <c r="A107" s="10" t="n">
        <v>22.734806060791</v>
      </c>
      <c r="B107" s="11" t="n">
        <v>0</v>
      </c>
      <c r="C107" s="12" t="n">
        <f aca="false">B107*'Correction factors'!$B$7</f>
        <v>0</v>
      </c>
      <c r="D107" s="13" t="n">
        <v>7.059924</v>
      </c>
      <c r="E107" s="14" t="n">
        <v>0</v>
      </c>
      <c r="F107" s="10" t="n">
        <f aca="false">E107/'Correction factors'!$B$10</f>
        <v>0</v>
      </c>
      <c r="G107" s="11" t="n">
        <v>332</v>
      </c>
    </row>
    <row r="108" customFormat="false" ht="15" hidden="false" customHeight="false" outlineLevel="0" collapsed="false">
      <c r="A108" s="10" t="n">
        <v>22.734806060791</v>
      </c>
      <c r="B108" s="11" t="n">
        <v>0</v>
      </c>
      <c r="C108" s="12" t="n">
        <f aca="false">B108*'Correction factors'!$B$7</f>
        <v>0</v>
      </c>
      <c r="D108" s="13" t="n">
        <v>7.069746</v>
      </c>
      <c r="E108" s="14" t="n">
        <v>8</v>
      </c>
      <c r="F108" s="10" t="n">
        <f aca="false">E108/'Correction factors'!$B$10</f>
        <v>0.6452</v>
      </c>
      <c r="G108" s="11" t="n">
        <v>344</v>
      </c>
    </row>
    <row r="109" customFormat="false" ht="15" hidden="false" customHeight="false" outlineLevel="0" collapsed="false">
      <c r="A109" s="10" t="n">
        <v>23.2258083820343</v>
      </c>
      <c r="B109" s="11" t="n">
        <v>0</v>
      </c>
      <c r="C109" s="12" t="n">
        <f aca="false">B109*'Correction factors'!$B$7</f>
        <v>0</v>
      </c>
      <c r="D109" s="13" t="n">
        <v>6.951887</v>
      </c>
      <c r="E109" s="14" t="n">
        <v>32</v>
      </c>
      <c r="F109" s="10" t="n">
        <f aca="false">E109/'Correction factors'!$B$10</f>
        <v>2.5808</v>
      </c>
      <c r="G109" s="11" t="n">
        <v>356</v>
      </c>
    </row>
    <row r="110" customFormat="false" ht="15" hidden="false" customHeight="false" outlineLevel="0" collapsed="false">
      <c r="A110" s="10" t="n">
        <v>23.2258083820343</v>
      </c>
      <c r="B110" s="11" t="n">
        <v>0</v>
      </c>
      <c r="C110" s="12" t="n">
        <f aca="false">B110*'Correction factors'!$B$7</f>
        <v>0</v>
      </c>
      <c r="D110" s="13" t="n">
        <v>6.853671</v>
      </c>
      <c r="E110" s="14" t="n">
        <v>72</v>
      </c>
      <c r="F110" s="10" t="n">
        <f aca="false">E110/'Correction factors'!$B$10</f>
        <v>5.8068</v>
      </c>
      <c r="G110" s="11" t="n">
        <v>357</v>
      </c>
    </row>
    <row r="111" customFormat="false" ht="15" hidden="false" customHeight="false" outlineLevel="0" collapsed="false">
      <c r="A111" s="10" t="n">
        <v>23.7019069194794</v>
      </c>
      <c r="B111" s="11" t="n">
        <v>0</v>
      </c>
      <c r="C111" s="12" t="n">
        <f aca="false">B111*'Correction factors'!$B$7</f>
        <v>0</v>
      </c>
      <c r="D111" s="13" t="n">
        <v>6.72599</v>
      </c>
      <c r="E111" s="14" t="n">
        <v>80</v>
      </c>
      <c r="F111" s="10" t="n">
        <f aca="false">E111/'Correction factors'!$B$10</f>
        <v>6.452</v>
      </c>
      <c r="G111" s="11" t="n">
        <v>365</v>
      </c>
    </row>
    <row r="112" customFormat="false" ht="15" hidden="false" customHeight="false" outlineLevel="0" collapsed="false">
      <c r="A112" s="10" t="n">
        <v>23.7019069194794</v>
      </c>
      <c r="B112" s="11" t="n">
        <v>300</v>
      </c>
      <c r="C112" s="12" t="n">
        <f aca="false">B112*'Correction factors'!$B$7</f>
        <v>1451.7</v>
      </c>
      <c r="D112" s="13" t="n">
        <v>6.559023</v>
      </c>
      <c r="E112" s="14" t="n">
        <v>120</v>
      </c>
      <c r="F112" s="10" t="n">
        <f aca="false">E112/'Correction factors'!$B$10</f>
        <v>9.678</v>
      </c>
      <c r="G112" s="11" t="n">
        <v>365</v>
      </c>
    </row>
    <row r="113" customFormat="false" ht="15" hidden="false" customHeight="false" outlineLevel="0" collapsed="false">
      <c r="A113" s="10" t="n">
        <v>24.1868159770966</v>
      </c>
      <c r="B113" s="11" t="n">
        <v>360</v>
      </c>
      <c r="C113" s="12" t="n">
        <f aca="false">B113*'Correction factors'!$B$7</f>
        <v>1742.04</v>
      </c>
      <c r="D113" s="13" t="n">
        <v>6.470628</v>
      </c>
      <c r="E113" s="14" t="n">
        <v>136</v>
      </c>
      <c r="F113" s="10" t="n">
        <f aca="false">E113/'Correction factors'!$B$10</f>
        <v>10.9684</v>
      </c>
      <c r="G113" s="11" t="n">
        <v>266</v>
      </c>
    </row>
    <row r="114" customFormat="false" ht="15" hidden="false" customHeight="false" outlineLevel="0" collapsed="false">
      <c r="A114" s="10" t="n">
        <v>24.1868159770966</v>
      </c>
      <c r="B114" s="11" t="n">
        <v>100</v>
      </c>
      <c r="C114" s="12" t="n">
        <f aca="false">B114*'Correction factors'!$B$7</f>
        <v>483.9</v>
      </c>
      <c r="D114" s="13" t="n">
        <v>6.647417</v>
      </c>
      <c r="E114" s="14" t="n">
        <v>64</v>
      </c>
      <c r="F114" s="10" t="n">
        <f aca="false">E114/'Correction factors'!$B$10</f>
        <v>5.1616</v>
      </c>
      <c r="G114" s="11" t="n">
        <v>252</v>
      </c>
    </row>
    <row r="115" customFormat="false" ht="15" hidden="false" customHeight="false" outlineLevel="0" collapsed="false">
      <c r="A115" s="10" t="n">
        <v>24.1868159770966</v>
      </c>
      <c r="B115" s="11" t="n">
        <v>0</v>
      </c>
      <c r="C115" s="12" t="n">
        <f aca="false">B115*'Correction factors'!$B$7</f>
        <v>0</v>
      </c>
      <c r="D115" s="13" t="n">
        <v>6.775098</v>
      </c>
      <c r="E115" s="14" t="n">
        <v>8</v>
      </c>
      <c r="F115" s="10" t="n">
        <f aca="false">E115/'Correction factors'!$B$10</f>
        <v>0.6452</v>
      </c>
      <c r="G115" s="11" t="n">
        <v>265</v>
      </c>
    </row>
    <row r="116" customFormat="false" ht="15" hidden="false" customHeight="false" outlineLevel="0" collapsed="false">
      <c r="A116" s="10" t="n">
        <v>24.6959879398346</v>
      </c>
      <c r="B116" s="11" t="n">
        <v>20</v>
      </c>
      <c r="C116" s="12" t="n">
        <f aca="false">B116*'Correction factors'!$B$7</f>
        <v>96.78</v>
      </c>
      <c r="D116" s="13" t="n">
        <v>6.745633</v>
      </c>
      <c r="E116" s="14" t="n">
        <v>8</v>
      </c>
      <c r="F116" s="10" t="n">
        <f aca="false">E116/'Correction factors'!$B$10</f>
        <v>0.6452</v>
      </c>
      <c r="G116" s="11" t="n">
        <v>350</v>
      </c>
    </row>
    <row r="117" customFormat="false" ht="15" hidden="false" customHeight="false" outlineLevel="0" collapsed="false">
      <c r="A117" s="10" t="n">
        <v>24.6959879398346</v>
      </c>
      <c r="B117" s="11" t="n">
        <v>320</v>
      </c>
      <c r="C117" s="12" t="n">
        <f aca="false">B117*'Correction factors'!$B$7</f>
        <v>1548.48</v>
      </c>
      <c r="D117" s="13" t="n">
        <v>6.598309</v>
      </c>
      <c r="E117" s="14" t="n">
        <v>88</v>
      </c>
      <c r="F117" s="10" t="n">
        <f aca="false">E117/'Correction factors'!$B$10</f>
        <v>7.0972</v>
      </c>
      <c r="G117" s="11" t="n">
        <v>349</v>
      </c>
    </row>
    <row r="118" customFormat="false" ht="15" hidden="false" customHeight="false" outlineLevel="0" collapsed="false">
      <c r="A118" s="10" t="n">
        <v>25.1007103919983</v>
      </c>
      <c r="B118" s="11" t="n">
        <v>340</v>
      </c>
      <c r="C118" s="12" t="n">
        <f aca="false">B118*'Correction factors'!$B$7</f>
        <v>1645.26</v>
      </c>
      <c r="D118" s="13" t="n">
        <v>6.598309</v>
      </c>
      <c r="E118" s="14" t="n">
        <v>104</v>
      </c>
      <c r="F118" s="10" t="n">
        <f aca="false">E118/'Correction factors'!$B$10</f>
        <v>8.3876</v>
      </c>
      <c r="G118" s="11" t="n">
        <v>242</v>
      </c>
    </row>
    <row r="119" customFormat="false" ht="15" hidden="false" customHeight="false" outlineLevel="0" collapsed="false">
      <c r="A119" s="10" t="n">
        <v>25.1007103919983</v>
      </c>
      <c r="B119" s="11" t="n">
        <v>20</v>
      </c>
      <c r="C119" s="12" t="n">
        <f aca="false">B119*'Correction factors'!$B$7</f>
        <v>96.78</v>
      </c>
      <c r="D119" s="13" t="n">
        <v>6.775098</v>
      </c>
      <c r="E119" s="14" t="n">
        <v>40</v>
      </c>
      <c r="F119" s="10" t="n">
        <f aca="false">E119/'Correction factors'!$B$10</f>
        <v>3.226</v>
      </c>
      <c r="G119" s="11" t="n">
        <v>233</v>
      </c>
    </row>
    <row r="120" customFormat="false" ht="15" hidden="false" customHeight="false" outlineLevel="0" collapsed="false">
      <c r="A120" s="10" t="n">
        <v>25.5335335731506</v>
      </c>
      <c r="B120" s="11" t="n">
        <v>0</v>
      </c>
      <c r="C120" s="12" t="n">
        <f aca="false">B120*'Correction factors'!$B$7</f>
        <v>0</v>
      </c>
      <c r="D120" s="13" t="n">
        <v>6.892957</v>
      </c>
      <c r="E120" s="14" t="n">
        <v>0</v>
      </c>
      <c r="F120" s="10" t="n">
        <f aca="false">E120/'Correction factors'!$B$10</f>
        <v>0</v>
      </c>
      <c r="G120" s="11" t="n">
        <v>326</v>
      </c>
    </row>
    <row r="121" customFormat="false" ht="15" hidden="false" customHeight="false" outlineLevel="0" collapsed="false">
      <c r="A121" s="10" t="n">
        <v>25.5335335731506</v>
      </c>
      <c r="B121" s="11" t="n">
        <v>20</v>
      </c>
      <c r="C121" s="12" t="n">
        <f aca="false">B121*'Correction factors'!$B$7</f>
        <v>96.78</v>
      </c>
      <c r="D121" s="13" t="n">
        <v>6.873313</v>
      </c>
      <c r="E121" s="14" t="n">
        <v>0</v>
      </c>
      <c r="F121" s="10" t="n">
        <f aca="false">E121/'Correction factors'!$B$10</f>
        <v>0</v>
      </c>
      <c r="G121" s="11" t="n">
        <v>333</v>
      </c>
    </row>
    <row r="122" customFormat="false" ht="15" hidden="false" customHeight="false" outlineLevel="0" collapsed="false">
      <c r="A122" s="10" t="n">
        <v>25.9701673984528</v>
      </c>
      <c r="B122" s="11" t="n">
        <v>0</v>
      </c>
      <c r="C122" s="12" t="n">
        <f aca="false">B122*'Correction factors'!$B$7</f>
        <v>0</v>
      </c>
      <c r="D122" s="13" t="n">
        <v>6.863492</v>
      </c>
      <c r="E122" s="14" t="n">
        <v>16</v>
      </c>
      <c r="F122" s="10" t="n">
        <f aca="false">E122/'Correction factors'!$B$10</f>
        <v>1.2904</v>
      </c>
      <c r="G122" s="11" t="n">
        <v>337</v>
      </c>
    </row>
    <row r="123" customFormat="false" ht="15" hidden="false" customHeight="false" outlineLevel="0" collapsed="false">
      <c r="A123" s="10" t="n">
        <v>25.9701673984528</v>
      </c>
      <c r="B123" s="11" t="n">
        <v>0</v>
      </c>
      <c r="C123" s="12" t="n">
        <f aca="false">B123*'Correction factors'!$B$7</f>
        <v>0</v>
      </c>
      <c r="D123" s="13" t="n">
        <v>6.843849</v>
      </c>
      <c r="E123" s="14" t="n">
        <v>16</v>
      </c>
      <c r="F123" s="10" t="n">
        <f aca="false">E123/'Correction factors'!$B$10</f>
        <v>1.2904</v>
      </c>
      <c r="G123" s="11" t="n">
        <v>342</v>
      </c>
    </row>
    <row r="124" customFormat="false" ht="15" hidden="false" customHeight="false" outlineLevel="0" collapsed="false">
      <c r="A124" s="10" t="n">
        <v>26.4016215801239</v>
      </c>
      <c r="B124" s="11" t="n">
        <v>0</v>
      </c>
      <c r="C124" s="12" t="n">
        <f aca="false">B124*'Correction factors'!$B$7</f>
        <v>0</v>
      </c>
      <c r="D124" s="13" t="n">
        <v>6.794741</v>
      </c>
      <c r="E124" s="14" t="n">
        <v>24</v>
      </c>
      <c r="F124" s="10" t="n">
        <f aca="false">E124/'Correction factors'!$B$10</f>
        <v>1.9356</v>
      </c>
      <c r="G124" s="11" t="n">
        <v>356</v>
      </c>
    </row>
    <row r="125" customFormat="false" ht="15" hidden="false" customHeight="false" outlineLevel="0" collapsed="false">
      <c r="A125" s="10" t="n">
        <v>26.4016215801239</v>
      </c>
      <c r="B125" s="11" t="n">
        <v>0</v>
      </c>
      <c r="C125" s="12" t="n">
        <f aca="false">B125*'Correction factors'!$B$7</f>
        <v>0</v>
      </c>
      <c r="D125" s="13" t="n">
        <v>6.676882</v>
      </c>
      <c r="E125" s="14" t="n">
        <v>48</v>
      </c>
      <c r="F125" s="10" t="n">
        <f aca="false">E125/'Correction factors'!$B$10</f>
        <v>3.8712</v>
      </c>
      <c r="G125" s="11" t="n">
        <v>357</v>
      </c>
    </row>
    <row r="126" customFormat="false" ht="15" hidden="false" customHeight="false" outlineLevel="0" collapsed="false">
      <c r="A126" s="10" t="n">
        <v>26.8326568603516</v>
      </c>
      <c r="B126" s="11" t="n">
        <v>0</v>
      </c>
      <c r="C126" s="12" t="n">
        <f aca="false">B126*'Correction factors'!$B$7</f>
        <v>0</v>
      </c>
      <c r="D126" s="13" t="n">
        <v>6.568844</v>
      </c>
      <c r="E126" s="14" t="n">
        <v>80</v>
      </c>
      <c r="F126" s="10" t="n">
        <f aca="false">E126/'Correction factors'!$B$10</f>
        <v>6.452</v>
      </c>
      <c r="G126" s="11" t="n">
        <v>367</v>
      </c>
    </row>
    <row r="127" customFormat="false" ht="15" hidden="false" customHeight="false" outlineLevel="0" collapsed="false">
      <c r="A127" s="10" t="n">
        <v>26.8326568603516</v>
      </c>
      <c r="B127" s="11" t="n">
        <v>200</v>
      </c>
      <c r="C127" s="12" t="n">
        <f aca="false">B127*'Correction factors'!$B$7</f>
        <v>967.8</v>
      </c>
      <c r="D127" s="13" t="n">
        <v>6.411699</v>
      </c>
      <c r="E127" s="14" t="n">
        <v>112</v>
      </c>
      <c r="F127" s="10" t="n">
        <f aca="false">E127/'Correction factors'!$B$10</f>
        <v>9.0328</v>
      </c>
      <c r="G127" s="11" t="n">
        <v>367</v>
      </c>
    </row>
    <row r="128" customFormat="false" ht="15" hidden="false" customHeight="false" outlineLevel="0" collapsed="false">
      <c r="A128" s="10" t="n">
        <v>27.2674300670624</v>
      </c>
      <c r="B128" s="11" t="n">
        <v>380</v>
      </c>
      <c r="C128" s="12" t="n">
        <f aca="false">B128*'Correction factors'!$B$7</f>
        <v>1838.82</v>
      </c>
      <c r="D128" s="13" t="n">
        <v>6.293839</v>
      </c>
      <c r="E128" s="14" t="n">
        <v>128</v>
      </c>
      <c r="F128" s="10" t="n">
        <f aca="false">E128/'Correction factors'!$B$10</f>
        <v>10.3232</v>
      </c>
      <c r="G128" s="11" t="n">
        <v>306</v>
      </c>
    </row>
    <row r="129" customFormat="false" ht="15" hidden="false" customHeight="false" outlineLevel="0" collapsed="false">
      <c r="A129" s="10" t="n">
        <v>27.2674300670624</v>
      </c>
      <c r="B129" s="11" t="n">
        <v>160</v>
      </c>
      <c r="C129" s="12" t="n">
        <f aca="false">B129*'Correction factors'!$B$7</f>
        <v>774.24</v>
      </c>
      <c r="D129" s="13" t="n">
        <v>6.411699</v>
      </c>
      <c r="E129" s="14" t="n">
        <v>88</v>
      </c>
      <c r="F129" s="10" t="n">
        <f aca="false">E129/'Correction factors'!$B$10</f>
        <v>7.0972</v>
      </c>
      <c r="G129" s="11" t="n">
        <v>295</v>
      </c>
    </row>
    <row r="130" customFormat="false" ht="15" hidden="false" customHeight="false" outlineLevel="0" collapsed="false">
      <c r="A130" s="10" t="n">
        <v>27.2674300670624</v>
      </c>
      <c r="B130" s="11" t="n">
        <v>0</v>
      </c>
      <c r="C130" s="12" t="n">
        <f aca="false">B130*'Correction factors'!$B$7</f>
        <v>0</v>
      </c>
      <c r="D130" s="13" t="n">
        <v>6.500093</v>
      </c>
      <c r="E130" s="14" t="n">
        <v>24</v>
      </c>
      <c r="F130" s="10" t="n">
        <f aca="false">E130/'Correction factors'!$B$10</f>
        <v>1.9356</v>
      </c>
      <c r="G130" s="11" t="n">
        <v>292</v>
      </c>
    </row>
    <row r="131" customFormat="false" ht="15" hidden="false" customHeight="false" outlineLevel="0" collapsed="false">
      <c r="A131" s="10" t="n">
        <v>27.7445952892304</v>
      </c>
      <c r="B131" s="11" t="n">
        <v>40</v>
      </c>
      <c r="C131" s="12" t="n">
        <f aca="false">B131*'Correction factors'!$B$7</f>
        <v>193.56</v>
      </c>
      <c r="D131" s="13" t="n">
        <v>6.470628</v>
      </c>
      <c r="E131" s="14" t="n">
        <v>8</v>
      </c>
      <c r="F131" s="10" t="n">
        <f aca="false">E131/'Correction factors'!$B$10</f>
        <v>0.6452</v>
      </c>
      <c r="G131" s="11" t="n">
        <v>351</v>
      </c>
    </row>
    <row r="132" customFormat="false" ht="15" hidden="false" customHeight="false" outlineLevel="0" collapsed="false">
      <c r="A132" s="10" t="n">
        <v>27.7445952892304</v>
      </c>
      <c r="B132" s="11" t="n">
        <v>280</v>
      </c>
      <c r="C132" s="12" t="n">
        <f aca="false">B132*'Correction factors'!$B$7</f>
        <v>1354.92</v>
      </c>
      <c r="D132" s="13" t="n">
        <v>6.362591</v>
      </c>
      <c r="E132" s="14" t="n">
        <v>80</v>
      </c>
      <c r="F132" s="10" t="n">
        <f aca="false">E132/'Correction factors'!$B$10</f>
        <v>6.452</v>
      </c>
      <c r="G132" s="11" t="n">
        <v>347</v>
      </c>
    </row>
    <row r="133" customFormat="false" ht="15" hidden="false" customHeight="false" outlineLevel="0" collapsed="false">
      <c r="A133" s="10" t="n">
        <v>28.1741876602173</v>
      </c>
      <c r="B133" s="11" t="n">
        <v>220</v>
      </c>
      <c r="C133" s="12" t="n">
        <f aca="false">B133*'Correction factors'!$B$7</f>
        <v>1064.58</v>
      </c>
      <c r="D133" s="13" t="n">
        <v>6.411699</v>
      </c>
      <c r="E133" s="14" t="n">
        <v>88</v>
      </c>
      <c r="F133" s="10" t="n">
        <f aca="false">E133/'Correction factors'!$B$10</f>
        <v>7.0972</v>
      </c>
      <c r="G133" s="11" t="n">
        <v>259</v>
      </c>
    </row>
    <row r="134" customFormat="false" ht="15" hidden="false" customHeight="false" outlineLevel="0" collapsed="false">
      <c r="A134" s="10" t="n">
        <v>28.1741876602173</v>
      </c>
      <c r="B134" s="11" t="n">
        <v>0</v>
      </c>
      <c r="C134" s="12" t="n">
        <f aca="false">B134*'Correction factors'!$B$7</f>
        <v>0</v>
      </c>
      <c r="D134" s="13" t="n">
        <v>6.549201</v>
      </c>
      <c r="E134" s="14" t="n">
        <v>16</v>
      </c>
      <c r="F134" s="10" t="n">
        <f aca="false">E134/'Correction factors'!$B$10</f>
        <v>1.2904</v>
      </c>
      <c r="G134" s="11" t="n">
        <v>266</v>
      </c>
    </row>
    <row r="135" customFormat="false" ht="15" hidden="false" customHeight="false" outlineLevel="0" collapsed="false">
      <c r="A135" s="10" t="n">
        <v>28.6087508201599</v>
      </c>
      <c r="B135" s="11" t="n">
        <v>0</v>
      </c>
      <c r="C135" s="12" t="n">
        <f aca="false">B135*'Correction factors'!$B$7</f>
        <v>0</v>
      </c>
      <c r="D135" s="13" t="n">
        <v>6.568844</v>
      </c>
      <c r="E135" s="14" t="n">
        <v>8</v>
      </c>
      <c r="F135" s="10" t="n">
        <f aca="false">E135/'Correction factors'!$B$10</f>
        <v>0.6452</v>
      </c>
      <c r="G135" s="11" t="n">
        <v>345</v>
      </c>
    </row>
    <row r="136" customFormat="false" ht="15" hidden="false" customHeight="false" outlineLevel="0" collapsed="false">
      <c r="A136" s="10" t="n">
        <v>28.6087508201599</v>
      </c>
      <c r="B136" s="11" t="n">
        <v>180</v>
      </c>
      <c r="C136" s="12" t="n">
        <f aca="false">B136*'Correction factors'!$B$7</f>
        <v>871.02</v>
      </c>
      <c r="D136" s="13" t="n">
        <v>6.470628</v>
      </c>
      <c r="E136" s="14" t="n">
        <v>48</v>
      </c>
      <c r="F136" s="10" t="n">
        <f aca="false">E136/'Correction factors'!$B$10</f>
        <v>3.8712</v>
      </c>
      <c r="G136" s="11" t="n">
        <v>345</v>
      </c>
    </row>
    <row r="137" customFormat="false" ht="15" hidden="false" customHeight="false" outlineLevel="0" collapsed="false">
      <c r="A137" s="10" t="n">
        <v>29.0428829193115</v>
      </c>
      <c r="B137" s="11" t="n">
        <v>200</v>
      </c>
      <c r="C137" s="12" t="n">
        <f aca="false">B137*'Correction factors'!$B$7</f>
        <v>967.8</v>
      </c>
      <c r="D137" s="13" t="n">
        <v>6.460807</v>
      </c>
      <c r="E137" s="14" t="n">
        <v>72</v>
      </c>
      <c r="F137" s="10" t="n">
        <f aca="false">E137/'Correction factors'!$B$10</f>
        <v>5.8068</v>
      </c>
      <c r="G137" s="11" t="n">
        <v>289</v>
      </c>
    </row>
    <row r="138" customFormat="false" ht="15" hidden="false" customHeight="false" outlineLevel="0" collapsed="false">
      <c r="A138" s="10" t="n">
        <v>29.0428829193115</v>
      </c>
      <c r="B138" s="11" t="n">
        <v>20</v>
      </c>
      <c r="C138" s="12" t="n">
        <f aca="false">B138*'Correction factors'!$B$7</f>
        <v>96.78</v>
      </c>
      <c r="D138" s="13" t="n">
        <v>6.53938</v>
      </c>
      <c r="E138" s="14" t="n">
        <v>24</v>
      </c>
      <c r="F138" s="10" t="n">
        <f aca="false">E138/'Correction factors'!$B$10</f>
        <v>1.9356</v>
      </c>
      <c r="G138" s="11" t="n">
        <v>286</v>
      </c>
    </row>
    <row r="139" customFormat="false" ht="15" hidden="false" customHeight="false" outlineLevel="0" collapsed="false">
      <c r="A139" s="10" t="n">
        <v>29.5107746124268</v>
      </c>
      <c r="B139" s="11" t="n">
        <v>0</v>
      </c>
      <c r="C139" s="12" t="n">
        <f aca="false">B139*'Correction factors'!$B$7</f>
        <v>0</v>
      </c>
      <c r="D139" s="13" t="n">
        <v>6.598309</v>
      </c>
      <c r="E139" s="14" t="n">
        <v>0</v>
      </c>
      <c r="F139" s="10" t="n">
        <f aca="false">E139/'Correction factors'!$B$10</f>
        <v>0</v>
      </c>
      <c r="G139" s="11" t="n">
        <v>336</v>
      </c>
    </row>
    <row r="140" customFormat="false" ht="15" hidden="false" customHeight="false" outlineLevel="0" collapsed="false">
      <c r="A140" s="10" t="n">
        <v>29.5107746124268</v>
      </c>
      <c r="B140" s="11" t="n">
        <v>0</v>
      </c>
      <c r="C140" s="12" t="n">
        <f aca="false">B140*'Correction factors'!$B$7</f>
        <v>0</v>
      </c>
      <c r="D140" s="13" t="n">
        <v>6.549201</v>
      </c>
      <c r="E140" s="14" t="n">
        <v>16</v>
      </c>
      <c r="F140" s="10" t="n">
        <f aca="false">E140/'Correction factors'!$B$10</f>
        <v>1.2904</v>
      </c>
      <c r="G140" s="11" t="n">
        <v>342</v>
      </c>
    </row>
    <row r="141" customFormat="false" ht="15" hidden="false" customHeight="false" outlineLevel="0" collapsed="false">
      <c r="A141" s="10" t="n">
        <v>29.9323420524597</v>
      </c>
      <c r="B141" s="11" t="n">
        <v>0</v>
      </c>
      <c r="C141" s="12" t="n">
        <f aca="false">B141*'Correction factors'!$B$7</f>
        <v>0</v>
      </c>
      <c r="D141" s="13" t="n">
        <v>6.500093</v>
      </c>
      <c r="E141" s="14" t="n">
        <v>32</v>
      </c>
      <c r="F141" s="10" t="n">
        <f aca="false">E141/'Correction factors'!$B$10</f>
        <v>2.5808</v>
      </c>
      <c r="G141" s="11" t="n">
        <v>357</v>
      </c>
    </row>
    <row r="142" customFormat="false" ht="15" hidden="false" customHeight="false" outlineLevel="0" collapsed="false">
      <c r="A142" s="10" t="n">
        <v>29.9323420524597</v>
      </c>
      <c r="B142" s="11" t="n">
        <v>0</v>
      </c>
      <c r="C142" s="12" t="n">
        <f aca="false">B142*'Correction factors'!$B$7</f>
        <v>0</v>
      </c>
      <c r="D142" s="13" t="n">
        <v>6.372413</v>
      </c>
      <c r="E142" s="14" t="n">
        <v>64</v>
      </c>
      <c r="F142" s="10" t="n">
        <f aca="false">E142/'Correction factors'!$B$10</f>
        <v>5.1616</v>
      </c>
      <c r="G142" s="11" t="n">
        <v>360</v>
      </c>
    </row>
    <row r="143" customFormat="false" ht="15" hidden="false" customHeight="false" outlineLevel="0" collapsed="false">
      <c r="A143" s="10" t="n">
        <v>29.9323420524597</v>
      </c>
      <c r="B143" s="11" t="n">
        <v>0</v>
      </c>
      <c r="C143" s="12" t="n">
        <f aca="false">B143*'Correction factors'!$B$7</f>
        <v>0</v>
      </c>
      <c r="D143" s="13" t="n">
        <v>6.293839</v>
      </c>
      <c r="E143" s="14" t="n">
        <v>80</v>
      </c>
      <c r="F143" s="10" t="n">
        <f aca="false">E143/'Correction factors'!$B$10</f>
        <v>6.452</v>
      </c>
      <c r="G143" s="11" t="n">
        <v>366</v>
      </c>
    </row>
    <row r="144" customFormat="false" ht="15" hidden="false" customHeight="false" outlineLevel="0" collapsed="false">
      <c r="A144" s="10" t="n">
        <v>30.4372346401215</v>
      </c>
      <c r="B144" s="11" t="n">
        <v>100</v>
      </c>
      <c r="C144" s="12" t="n">
        <f aca="false">B144*'Correction factors'!$B$7</f>
        <v>483.9</v>
      </c>
      <c r="D144" s="13" t="n">
        <v>6.097408</v>
      </c>
      <c r="E144" s="14" t="n">
        <v>120</v>
      </c>
      <c r="F144" s="10" t="n">
        <f aca="false">E144/'Correction factors'!$B$10</f>
        <v>9.678</v>
      </c>
      <c r="G144" s="11" t="n">
        <v>373</v>
      </c>
    </row>
    <row r="145" customFormat="false" ht="15" hidden="false" customHeight="false" outlineLevel="0" collapsed="false">
      <c r="A145" s="10" t="n">
        <v>30.4372346401215</v>
      </c>
      <c r="B145" s="11" t="n">
        <v>400</v>
      </c>
      <c r="C145" s="12" t="n">
        <f aca="false">B145*'Correction factors'!$B$7</f>
        <v>1935.6</v>
      </c>
      <c r="D145" s="13" t="n">
        <v>5.969727</v>
      </c>
      <c r="E145" s="14" t="n">
        <v>160</v>
      </c>
      <c r="F145" s="10" t="n">
        <f aca="false">E145/'Correction factors'!$B$10</f>
        <v>12.904</v>
      </c>
      <c r="G145" s="11" t="n">
        <v>362</v>
      </c>
    </row>
    <row r="146" customFormat="false" ht="15" hidden="false" customHeight="false" outlineLevel="0" collapsed="false">
      <c r="A146" s="10" t="n">
        <v>30.8854975700378</v>
      </c>
      <c r="B146" s="11" t="n">
        <v>300</v>
      </c>
      <c r="C146" s="12" t="n">
        <f aca="false">B146*'Correction factors'!$B$7</f>
        <v>1451.7</v>
      </c>
      <c r="D146" s="13" t="n">
        <v>6.0483</v>
      </c>
      <c r="E146" s="14" t="n">
        <v>144</v>
      </c>
      <c r="F146" s="10" t="n">
        <f aca="false">E146/'Correction factors'!$B$10</f>
        <v>11.6136</v>
      </c>
      <c r="G146" s="11" t="n">
        <v>236</v>
      </c>
    </row>
    <row r="147" customFormat="false" ht="15" hidden="false" customHeight="false" outlineLevel="0" collapsed="false">
      <c r="A147" s="10" t="n">
        <v>30.8854975700378</v>
      </c>
      <c r="B147" s="11" t="n">
        <v>0</v>
      </c>
      <c r="C147" s="12" t="n">
        <f aca="false">B147*'Correction factors'!$B$7</f>
        <v>0</v>
      </c>
      <c r="D147" s="13" t="n">
        <v>6.215267</v>
      </c>
      <c r="E147" s="14" t="n">
        <v>40</v>
      </c>
      <c r="F147" s="10" t="n">
        <f aca="false">E147/'Correction factors'!$B$10</f>
        <v>3.226</v>
      </c>
      <c r="G147" s="11" t="n">
        <v>242</v>
      </c>
    </row>
    <row r="148" customFormat="false" ht="15" hidden="false" customHeight="false" outlineLevel="0" collapsed="false">
      <c r="A148" s="10" t="n">
        <v>31.3246698379517</v>
      </c>
      <c r="B148" s="11" t="n">
        <v>0</v>
      </c>
      <c r="C148" s="12" t="n">
        <f aca="false">B148*'Correction factors'!$B$7</f>
        <v>0</v>
      </c>
      <c r="D148" s="13" t="n">
        <v>6.323305</v>
      </c>
      <c r="E148" s="14" t="n">
        <v>0</v>
      </c>
      <c r="F148" s="10" t="n">
        <f aca="false">E148/'Correction factors'!$B$10</f>
        <v>0</v>
      </c>
      <c r="G148" s="11" t="n">
        <v>351</v>
      </c>
    </row>
    <row r="149" customFormat="false" ht="15" hidden="false" customHeight="false" outlineLevel="0" collapsed="false">
      <c r="A149" s="10" t="n">
        <v>31.3246698379517</v>
      </c>
      <c r="B149" s="11" t="n">
        <v>140</v>
      </c>
      <c r="C149" s="12" t="n">
        <f aca="false">B149*'Correction factors'!$B$7</f>
        <v>677.46</v>
      </c>
      <c r="D149" s="13" t="n">
        <v>6.166159</v>
      </c>
      <c r="E149" s="14" t="n">
        <v>56</v>
      </c>
      <c r="F149" s="10" t="n">
        <f aca="false">E149/'Correction factors'!$B$10</f>
        <v>4.5164</v>
      </c>
      <c r="G149" s="11" t="n">
        <v>352</v>
      </c>
    </row>
    <row r="150" customFormat="false" ht="15" hidden="false" customHeight="false" outlineLevel="0" collapsed="false">
      <c r="A150" s="10" t="n">
        <v>31.7768120765686</v>
      </c>
      <c r="B150" s="11" t="n">
        <v>300</v>
      </c>
      <c r="C150" s="12" t="n">
        <f aca="false">B150*'Correction factors'!$B$7</f>
        <v>1451.7</v>
      </c>
      <c r="D150" s="13" t="n">
        <v>6.117051</v>
      </c>
      <c r="E150" s="14" t="n">
        <v>104</v>
      </c>
      <c r="F150" s="10" t="n">
        <f aca="false">E150/'Correction factors'!$B$10</f>
        <v>8.3876</v>
      </c>
      <c r="G150" s="11" t="n">
        <v>310</v>
      </c>
    </row>
    <row r="151" customFormat="false" ht="15" hidden="false" customHeight="false" outlineLevel="0" collapsed="false">
      <c r="A151" s="10" t="n">
        <v>31.7768120765686</v>
      </c>
      <c r="B151" s="11" t="n">
        <v>80</v>
      </c>
      <c r="C151" s="12" t="n">
        <f aca="false">B151*'Correction factors'!$B$7</f>
        <v>387.12</v>
      </c>
      <c r="D151" s="13" t="n">
        <v>6.185802</v>
      </c>
      <c r="E151" s="14" t="n">
        <v>48</v>
      </c>
      <c r="F151" s="10" t="n">
        <f aca="false">E151/'Correction factors'!$B$10</f>
        <v>3.8712</v>
      </c>
      <c r="G151" s="11" t="n">
        <v>299</v>
      </c>
    </row>
    <row r="152" customFormat="false" ht="15" hidden="false" customHeight="false" outlineLevel="0" collapsed="false">
      <c r="A152" s="10" t="n">
        <v>32.223176240921</v>
      </c>
      <c r="B152" s="11" t="n">
        <v>0</v>
      </c>
      <c r="C152" s="12" t="n">
        <f aca="false">B152*'Correction factors'!$B$7</f>
        <v>0</v>
      </c>
      <c r="D152" s="13" t="n">
        <v>6.264375</v>
      </c>
      <c r="E152" s="14" t="n">
        <v>8</v>
      </c>
      <c r="F152" s="10" t="n">
        <f aca="false">E152/'Correction factors'!$B$10</f>
        <v>0.6452</v>
      </c>
      <c r="G152" s="11" t="n">
        <v>320</v>
      </c>
    </row>
    <row r="153" customFormat="false" ht="15" hidden="false" customHeight="false" outlineLevel="0" collapsed="false">
      <c r="A153" s="10" t="n">
        <v>32.223176240921</v>
      </c>
      <c r="B153" s="11" t="n">
        <v>0</v>
      </c>
      <c r="C153" s="12" t="n">
        <f aca="false">B153*'Correction factors'!$B$7</f>
        <v>0</v>
      </c>
      <c r="D153" s="13" t="n">
        <v>6.313483</v>
      </c>
      <c r="E153" s="14" t="n">
        <v>8</v>
      </c>
      <c r="F153" s="10" t="n">
        <f aca="false">E153/'Correction factors'!$B$10</f>
        <v>0.6452</v>
      </c>
      <c r="G153" s="11" t="n">
        <v>333</v>
      </c>
    </row>
    <row r="154" customFormat="false" ht="15" hidden="false" customHeight="false" outlineLevel="0" collapsed="false">
      <c r="A154" s="10" t="n">
        <v>32.223176240921</v>
      </c>
      <c r="B154" s="11" t="n">
        <v>0</v>
      </c>
      <c r="C154" s="12" t="n">
        <f aca="false">B154*'Correction factors'!$B$7</f>
        <v>0</v>
      </c>
      <c r="D154" s="13" t="n">
        <v>6.372413</v>
      </c>
      <c r="E154" s="14" t="n">
        <v>0</v>
      </c>
      <c r="F154" s="10" t="n">
        <f aca="false">E154/'Correction factors'!$B$10</f>
        <v>0</v>
      </c>
      <c r="G154" s="11" t="n">
        <v>358</v>
      </c>
    </row>
    <row r="155" customFormat="false" ht="15" hidden="false" customHeight="false" outlineLevel="0" collapsed="false">
      <c r="A155" s="10" t="n">
        <v>32.7165176868439</v>
      </c>
      <c r="B155" s="11" t="n">
        <v>0</v>
      </c>
      <c r="C155" s="12" t="n">
        <f aca="false">B155*'Correction factors'!$B$7</f>
        <v>0</v>
      </c>
      <c r="D155" s="13" t="n">
        <v>6.205445</v>
      </c>
      <c r="E155" s="14" t="n">
        <v>40</v>
      </c>
      <c r="F155" s="10" t="n">
        <f aca="false">E155/'Correction factors'!$B$10</f>
        <v>3.226</v>
      </c>
      <c r="G155" s="11" t="n">
        <v>362</v>
      </c>
    </row>
    <row r="156" customFormat="false" ht="15" hidden="false" customHeight="false" outlineLevel="0" collapsed="false">
      <c r="A156" s="10" t="n">
        <v>32.7165176868439</v>
      </c>
      <c r="B156" s="11" t="n">
        <v>0</v>
      </c>
      <c r="C156" s="12" t="n">
        <f aca="false">B156*'Correction factors'!$B$7</f>
        <v>0</v>
      </c>
      <c r="D156" s="13" t="n">
        <v>6.087586</v>
      </c>
      <c r="E156" s="14" t="n">
        <v>96</v>
      </c>
      <c r="F156" s="10" t="n">
        <f aca="false">E156/'Correction factors'!$B$10</f>
        <v>7.7424</v>
      </c>
      <c r="G156" s="11" t="n">
        <v>365</v>
      </c>
    </row>
    <row r="157" customFormat="false" ht="15" hidden="false" customHeight="false" outlineLevel="0" collapsed="false">
      <c r="A157" s="10" t="n">
        <v>33.1615748405457</v>
      </c>
      <c r="B157" s="11" t="n">
        <v>0</v>
      </c>
      <c r="C157" s="12" t="n">
        <f aca="false">B157*'Correction factors'!$B$7</f>
        <v>0</v>
      </c>
      <c r="D157" s="13" t="n">
        <v>5.940262</v>
      </c>
      <c r="E157" s="14" t="n">
        <v>112</v>
      </c>
      <c r="F157" s="10" t="n">
        <f aca="false">E157/'Correction factors'!$B$10</f>
        <v>9.0328</v>
      </c>
      <c r="G157" s="11" t="n">
        <v>373</v>
      </c>
    </row>
    <row r="158" customFormat="false" ht="15" hidden="false" customHeight="false" outlineLevel="0" collapsed="false">
      <c r="A158" s="10" t="n">
        <v>33.1615748405457</v>
      </c>
      <c r="B158" s="11" t="n">
        <v>0</v>
      </c>
      <c r="C158" s="12" t="n">
        <f aca="false">B158*'Correction factors'!$B$7</f>
        <v>0</v>
      </c>
      <c r="D158" s="13" t="n">
        <v>5.822403</v>
      </c>
      <c r="E158" s="14" t="n">
        <v>152</v>
      </c>
      <c r="F158" s="10" t="n">
        <f aca="false">E158/'Correction factors'!$B$10</f>
        <v>12.2588</v>
      </c>
      <c r="G158" s="11" t="n">
        <v>375</v>
      </c>
    </row>
    <row r="159" customFormat="false" ht="15" hidden="false" customHeight="false" outlineLevel="0" collapsed="false">
      <c r="A159" s="10" t="n">
        <v>33.6240711212158</v>
      </c>
      <c r="B159" s="11" t="n">
        <v>0</v>
      </c>
      <c r="C159" s="12" t="n">
        <f aca="false">B159*'Correction factors'!$B$7</f>
        <v>0</v>
      </c>
      <c r="D159" s="13" t="n">
        <v>5.61615</v>
      </c>
      <c r="E159" s="14" t="n">
        <v>168</v>
      </c>
      <c r="F159" s="10" t="n">
        <f aca="false">E159/'Correction factors'!$B$10</f>
        <v>13.5492</v>
      </c>
      <c r="G159" s="11" t="n">
        <v>387</v>
      </c>
    </row>
    <row r="160" customFormat="false" ht="15" hidden="false" customHeight="false" outlineLevel="0" collapsed="false">
      <c r="A160" s="10" t="n">
        <v>33.6240711212158</v>
      </c>
      <c r="B160" s="11" t="n">
        <v>0</v>
      </c>
      <c r="C160" s="12" t="n">
        <f aca="false">B160*'Correction factors'!$B$7</f>
        <v>0</v>
      </c>
      <c r="D160" s="13" t="n">
        <v>5.439361</v>
      </c>
      <c r="E160" s="14" t="n">
        <v>224</v>
      </c>
      <c r="F160" s="10" t="n">
        <f aca="false">E160/'Correction factors'!$B$10</f>
        <v>18.0656</v>
      </c>
      <c r="G160" s="11" t="n">
        <v>388</v>
      </c>
    </row>
    <row r="161" customFormat="false" ht="15" hidden="false" customHeight="false" outlineLevel="0" collapsed="false">
      <c r="A161" s="10" t="n">
        <v>34.0947296619415</v>
      </c>
      <c r="B161" s="11" t="n">
        <v>0</v>
      </c>
      <c r="C161" s="12" t="n">
        <f aca="false">B161*'Correction factors'!$B$7</f>
        <v>0</v>
      </c>
      <c r="D161" s="13" t="n">
        <v>5.242929</v>
      </c>
      <c r="E161" s="14" t="n">
        <v>232</v>
      </c>
      <c r="F161" s="10" t="n">
        <f aca="false">E161/'Correction factors'!$B$10</f>
        <v>18.7108</v>
      </c>
      <c r="G161" s="11" t="n">
        <v>397</v>
      </c>
    </row>
    <row r="162" customFormat="false" ht="15" hidden="false" customHeight="false" outlineLevel="0" collapsed="false">
      <c r="A162" s="10" t="n">
        <v>34.0947296619415</v>
      </c>
      <c r="B162" s="11" t="n">
        <v>300</v>
      </c>
      <c r="C162" s="12" t="n">
        <f aca="false">B162*'Correction factors'!$B$7</f>
        <v>1451.7</v>
      </c>
      <c r="D162" s="13" t="n">
        <v>5.056319</v>
      </c>
      <c r="E162" s="14" t="n">
        <v>288</v>
      </c>
      <c r="F162" s="10" t="n">
        <f aca="false">E162/'Correction factors'!$B$10</f>
        <v>23.2272</v>
      </c>
      <c r="G162" s="11" t="n">
        <v>398</v>
      </c>
    </row>
    <row r="163" customFormat="false" ht="15" hidden="false" customHeight="false" outlineLevel="0" collapsed="false">
      <c r="A163" s="10" t="n">
        <v>34.0947296619415</v>
      </c>
      <c r="B163" s="11" t="n">
        <v>580</v>
      </c>
      <c r="C163" s="12" t="n">
        <f aca="false">B163*'Correction factors'!$B$7</f>
        <v>2806.62</v>
      </c>
      <c r="D163" s="13" t="n">
        <v>4.889352</v>
      </c>
      <c r="E163" s="14" t="n">
        <v>288</v>
      </c>
      <c r="F163" s="10" t="n">
        <f aca="false">E163/'Correction factors'!$B$10</f>
        <v>23.2272</v>
      </c>
      <c r="G163" s="11" t="n">
        <v>365</v>
      </c>
    </row>
    <row r="164" customFormat="false" ht="15" hidden="false" customHeight="false" outlineLevel="0" collapsed="false">
      <c r="A164" s="10" t="n">
        <v>34.5889775753021</v>
      </c>
      <c r="B164" s="11" t="n">
        <v>420</v>
      </c>
      <c r="C164" s="12" t="n">
        <f aca="false">B164*'Correction factors'!$B$7</f>
        <v>2032.38</v>
      </c>
      <c r="D164" s="13" t="n">
        <v>5.144713</v>
      </c>
      <c r="E164" s="14" t="n">
        <v>192</v>
      </c>
      <c r="F164" s="10" t="n">
        <f aca="false">E164/'Correction factors'!$B$10</f>
        <v>15.4848</v>
      </c>
      <c r="G164" s="11" t="n">
        <v>199</v>
      </c>
    </row>
    <row r="165" customFormat="false" ht="15" hidden="false" customHeight="false" outlineLevel="0" collapsed="false">
      <c r="A165" s="10" t="n">
        <v>34.5889775753021</v>
      </c>
      <c r="B165" s="11" t="n">
        <v>0</v>
      </c>
      <c r="C165" s="12" t="n">
        <f aca="false">B165*'Correction factors'!$B$7</f>
        <v>0</v>
      </c>
      <c r="D165" s="13" t="n">
        <v>5.360788</v>
      </c>
      <c r="E165" s="14" t="n">
        <v>16</v>
      </c>
      <c r="F165" s="10" t="n">
        <f aca="false">E165/'Correction factors'!$B$10</f>
        <v>1.2904</v>
      </c>
      <c r="G165" s="11" t="n">
        <v>209</v>
      </c>
    </row>
    <row r="166" customFormat="false" ht="15" hidden="false" customHeight="false" outlineLevel="0" collapsed="false">
      <c r="A166" s="10" t="n">
        <v>35.0361845493317</v>
      </c>
      <c r="B166" s="11" t="n">
        <v>0</v>
      </c>
      <c r="C166" s="12" t="n">
        <f aca="false">B166*'Correction factors'!$B$7</f>
        <v>0</v>
      </c>
      <c r="D166" s="13" t="n">
        <v>5.537577</v>
      </c>
      <c r="E166" s="14" t="n">
        <v>0</v>
      </c>
      <c r="F166" s="10" t="n">
        <f aca="false">E166/'Correction factors'!$B$10</f>
        <v>0</v>
      </c>
      <c r="G166" s="11" t="n">
        <v>349</v>
      </c>
    </row>
    <row r="167" customFormat="false" ht="15" hidden="false" customHeight="false" outlineLevel="0" collapsed="false">
      <c r="A167" s="10" t="n">
        <v>35.0361845493317</v>
      </c>
      <c r="B167" s="11" t="n">
        <v>40</v>
      </c>
      <c r="C167" s="12" t="n">
        <f aca="false">B167*'Correction factors'!$B$7</f>
        <v>193.56</v>
      </c>
      <c r="D167" s="13" t="n">
        <v>5.468826</v>
      </c>
      <c r="E167" s="14" t="n">
        <v>40</v>
      </c>
      <c r="F167" s="10" t="n">
        <f aca="false">E167/'Correction factors'!$B$10</f>
        <v>3.226</v>
      </c>
      <c r="G167" s="11" t="n">
        <v>352</v>
      </c>
    </row>
    <row r="168" customFormat="false" ht="15" hidden="false" customHeight="false" outlineLevel="0" collapsed="false">
      <c r="A168" s="10" t="n">
        <v>35.5073232650757</v>
      </c>
      <c r="B168" s="11" t="n">
        <v>220</v>
      </c>
      <c r="C168" s="12" t="n">
        <f aca="false">B168*'Correction factors'!$B$7</f>
        <v>1064.58</v>
      </c>
      <c r="D168" s="13" t="n">
        <v>5.449183</v>
      </c>
      <c r="E168" s="14" t="n">
        <v>88</v>
      </c>
      <c r="F168" s="10" t="n">
        <f aca="false">E168/'Correction factors'!$B$10</f>
        <v>7.0972</v>
      </c>
      <c r="G168" s="11" t="n">
        <v>347</v>
      </c>
    </row>
    <row r="169" customFormat="false" ht="15" hidden="false" customHeight="false" outlineLevel="0" collapsed="false">
      <c r="A169" s="10" t="n">
        <v>35.5073232650757</v>
      </c>
      <c r="B169" s="11" t="n">
        <v>240</v>
      </c>
      <c r="C169" s="12" t="n">
        <f aca="false">B169*'Correction factors'!$B$7</f>
        <v>1161.36</v>
      </c>
      <c r="D169" s="13" t="n">
        <v>5.409896</v>
      </c>
      <c r="E169" s="14" t="n">
        <v>96</v>
      </c>
      <c r="F169" s="10" t="n">
        <f aca="false">E169/'Correction factors'!$B$10</f>
        <v>7.7424</v>
      </c>
      <c r="G169" s="11" t="n">
        <v>331</v>
      </c>
    </row>
    <row r="170" customFormat="false" ht="15" hidden="false" customHeight="false" outlineLevel="0" collapsed="false">
      <c r="A170" s="10" t="n">
        <v>35.959721326828</v>
      </c>
      <c r="B170" s="11" t="n">
        <v>240</v>
      </c>
      <c r="C170" s="12" t="n">
        <f aca="false">B170*'Correction factors'!$B$7</f>
        <v>1161.36</v>
      </c>
      <c r="D170" s="13" t="n">
        <v>5.439361</v>
      </c>
      <c r="E170" s="14" t="n">
        <v>96</v>
      </c>
      <c r="F170" s="10" t="n">
        <f aca="false">E170/'Correction factors'!$B$10</f>
        <v>7.7424</v>
      </c>
      <c r="G170" s="11" t="n">
        <v>269</v>
      </c>
    </row>
    <row r="171" customFormat="false" ht="15" hidden="false" customHeight="false" outlineLevel="0" collapsed="false">
      <c r="A171" s="10" t="n">
        <v>35.959721326828</v>
      </c>
      <c r="B171" s="11" t="n">
        <v>40</v>
      </c>
      <c r="C171" s="12" t="n">
        <f aca="false">B171*'Correction factors'!$B$7</f>
        <v>193.56</v>
      </c>
      <c r="D171" s="13" t="n">
        <v>5.606328</v>
      </c>
      <c r="E171" s="14" t="n">
        <v>40</v>
      </c>
      <c r="F171" s="10" t="n">
        <f aca="false">E171/'Correction factors'!$B$10</f>
        <v>3.226</v>
      </c>
      <c r="G171" s="11" t="n">
        <v>269</v>
      </c>
    </row>
    <row r="172" customFormat="false" ht="15" hidden="false" customHeight="false" outlineLevel="0" collapsed="false">
      <c r="A172" s="10" t="n">
        <v>35.959721326828</v>
      </c>
      <c r="B172" s="11" t="n">
        <v>0</v>
      </c>
      <c r="C172" s="12" t="n">
        <f aca="false">B172*'Correction factors'!$B$7</f>
        <v>0</v>
      </c>
      <c r="D172" s="13" t="n">
        <v>5.74383</v>
      </c>
      <c r="E172" s="14" t="n">
        <v>8</v>
      </c>
      <c r="F172" s="10" t="n">
        <f aca="false">E172/'Correction factors'!$B$10</f>
        <v>0.6452</v>
      </c>
      <c r="G172" s="11" t="n">
        <v>302</v>
      </c>
    </row>
    <row r="173" customFormat="false" ht="15" hidden="false" customHeight="false" outlineLevel="0" collapsed="false">
      <c r="A173" s="10" t="n">
        <v>36.4621503353119</v>
      </c>
      <c r="B173" s="11" t="n">
        <v>40</v>
      </c>
      <c r="C173" s="12" t="n">
        <f aca="false">B173*'Correction factors'!$B$7</f>
        <v>193.56</v>
      </c>
      <c r="D173" s="13" t="n">
        <v>5.734009</v>
      </c>
      <c r="E173" s="14" t="n">
        <v>8</v>
      </c>
      <c r="F173" s="10" t="n">
        <f aca="false">E173/'Correction factors'!$B$10</f>
        <v>0.6452</v>
      </c>
      <c r="G173" s="11" t="n">
        <v>345</v>
      </c>
    </row>
    <row r="174" customFormat="false" ht="15" hidden="false" customHeight="false" outlineLevel="0" collapsed="false">
      <c r="A174" s="10" t="n">
        <v>36.4621503353119</v>
      </c>
      <c r="B174" s="11" t="n">
        <v>160</v>
      </c>
      <c r="C174" s="12" t="n">
        <f aca="false">B174*'Correction factors'!$B$7</f>
        <v>774.24</v>
      </c>
      <c r="D174" s="13" t="n">
        <v>5.704544</v>
      </c>
      <c r="E174" s="14" t="n">
        <v>56</v>
      </c>
      <c r="F174" s="10" t="n">
        <f aca="false">E174/'Correction factors'!$B$10</f>
        <v>4.5164</v>
      </c>
      <c r="G174" s="11" t="n">
        <v>340</v>
      </c>
    </row>
    <row r="175" customFormat="false" ht="15" hidden="false" customHeight="false" outlineLevel="0" collapsed="false">
      <c r="A175" s="10" t="n">
        <v>36.92342877388</v>
      </c>
      <c r="B175" s="11" t="n">
        <v>140</v>
      </c>
      <c r="C175" s="12" t="n">
        <f aca="false">B175*'Correction factors'!$B$7</f>
        <v>677.46</v>
      </c>
      <c r="D175" s="13" t="n">
        <v>5.753652</v>
      </c>
      <c r="E175" s="14" t="n">
        <v>64</v>
      </c>
      <c r="F175" s="10" t="n">
        <f aca="false">E175/'Correction factors'!$B$10</f>
        <v>5.1616</v>
      </c>
      <c r="G175" s="11" t="n">
        <v>293</v>
      </c>
    </row>
    <row r="176" customFormat="false" ht="15" hidden="false" customHeight="false" outlineLevel="0" collapsed="false">
      <c r="A176" s="10" t="n">
        <v>36.92342877388</v>
      </c>
      <c r="B176" s="11" t="n">
        <v>0</v>
      </c>
      <c r="C176" s="12" t="n">
        <f aca="false">B176*'Correction factors'!$B$7</f>
        <v>0</v>
      </c>
      <c r="D176" s="13" t="n">
        <v>5.86169</v>
      </c>
      <c r="E176" s="14" t="n">
        <v>16</v>
      </c>
      <c r="F176" s="10" t="n">
        <f aca="false">E176/'Correction factors'!$B$10</f>
        <v>1.2904</v>
      </c>
      <c r="G176" s="11" t="n">
        <v>297</v>
      </c>
    </row>
    <row r="177" customFormat="false" ht="15" hidden="false" customHeight="false" outlineLevel="0" collapsed="false">
      <c r="A177" s="10" t="n">
        <v>37.3890707492828</v>
      </c>
      <c r="B177" s="11" t="n">
        <v>0</v>
      </c>
      <c r="C177" s="12" t="n">
        <f aca="false">B177*'Correction factors'!$B$7</f>
        <v>0</v>
      </c>
      <c r="D177" s="13" t="n">
        <v>5.940262</v>
      </c>
      <c r="E177" s="14" t="n">
        <v>0</v>
      </c>
      <c r="F177" s="10" t="n">
        <f aca="false">E177/'Correction factors'!$B$10</f>
        <v>0</v>
      </c>
      <c r="G177" s="11" t="n">
        <v>347</v>
      </c>
    </row>
    <row r="178" customFormat="false" ht="15" hidden="false" customHeight="false" outlineLevel="0" collapsed="false">
      <c r="A178" s="10" t="n">
        <v>37.3890707492828</v>
      </c>
      <c r="B178" s="11" t="n">
        <v>100</v>
      </c>
      <c r="C178" s="12" t="n">
        <f aca="false">B178*'Correction factors'!$B$7</f>
        <v>483.9</v>
      </c>
      <c r="D178" s="13" t="n">
        <v>5.881333</v>
      </c>
      <c r="E178" s="14" t="n">
        <v>32</v>
      </c>
      <c r="F178" s="10" t="n">
        <f aca="false">E178/'Correction factors'!$B$10</f>
        <v>2.5808</v>
      </c>
      <c r="G178" s="11" t="n">
        <v>350</v>
      </c>
    </row>
    <row r="179" customFormat="false" ht="15" hidden="false" customHeight="false" outlineLevel="0" collapsed="false">
      <c r="A179" s="10" t="n">
        <v>37.3890707492828</v>
      </c>
      <c r="B179" s="11" t="n">
        <v>180</v>
      </c>
      <c r="C179" s="12" t="n">
        <f aca="false">B179*'Correction factors'!$B$7</f>
        <v>871.02</v>
      </c>
      <c r="D179" s="13" t="n">
        <v>5.812582</v>
      </c>
      <c r="E179" s="14" t="n">
        <v>64</v>
      </c>
      <c r="F179" s="10" t="n">
        <f aca="false">E179/'Correction factors'!$B$10</f>
        <v>5.1616</v>
      </c>
      <c r="G179" s="11" t="n">
        <v>328</v>
      </c>
    </row>
    <row r="180" customFormat="false" ht="15" hidden="false" customHeight="false" outlineLevel="0" collapsed="false">
      <c r="A180" s="10" t="n">
        <v>37.9091892242432</v>
      </c>
      <c r="B180" s="11" t="n">
        <v>100</v>
      </c>
      <c r="C180" s="12" t="n">
        <f aca="false">B180*'Correction factors'!$B$7</f>
        <v>483.9</v>
      </c>
      <c r="D180" s="13" t="n">
        <v>5.891154</v>
      </c>
      <c r="E180" s="14" t="n">
        <v>56</v>
      </c>
      <c r="F180" s="10" t="n">
        <f aca="false">E180/'Correction factors'!$B$10</f>
        <v>4.5164</v>
      </c>
      <c r="G180" s="11" t="n">
        <v>295</v>
      </c>
    </row>
    <row r="181" customFormat="false" ht="15" hidden="false" customHeight="false" outlineLevel="0" collapsed="false">
      <c r="A181" s="10" t="n">
        <v>37.9091892242432</v>
      </c>
      <c r="B181" s="11" t="n">
        <v>0</v>
      </c>
      <c r="C181" s="12" t="n">
        <f aca="false">B181*'Correction factors'!$B$7</f>
        <v>0</v>
      </c>
      <c r="D181" s="13" t="n">
        <v>5.98937</v>
      </c>
      <c r="E181" s="14" t="n">
        <v>8</v>
      </c>
      <c r="F181" s="10" t="n">
        <f aca="false">E181/'Correction factors'!$B$10</f>
        <v>0.6452</v>
      </c>
      <c r="G181" s="11" t="n">
        <v>304</v>
      </c>
    </row>
    <row r="182" customFormat="false" ht="15" hidden="false" customHeight="false" outlineLevel="0" collapsed="false">
      <c r="A182" s="10" t="n">
        <v>38.4007368087769</v>
      </c>
      <c r="B182" s="11" t="n">
        <v>0</v>
      </c>
      <c r="C182" s="12" t="n">
        <f aca="false">B182*'Correction factors'!$B$7</f>
        <v>0</v>
      </c>
      <c r="D182" s="13" t="n">
        <v>5.959905</v>
      </c>
      <c r="E182" s="14" t="n">
        <v>0</v>
      </c>
      <c r="F182" s="10" t="n">
        <f aca="false">E182/'Correction factors'!$B$10</f>
        <v>0</v>
      </c>
      <c r="G182" s="11" t="n">
        <v>355</v>
      </c>
    </row>
    <row r="183" customFormat="false" ht="15" hidden="false" customHeight="false" outlineLevel="0" collapsed="false">
      <c r="A183" s="10" t="n">
        <v>38.4007368087769</v>
      </c>
      <c r="B183" s="11" t="n">
        <v>0</v>
      </c>
      <c r="C183" s="12" t="n">
        <f aca="false">B183*'Correction factors'!$B$7</f>
        <v>0</v>
      </c>
      <c r="D183" s="13" t="n">
        <v>5.851868</v>
      </c>
      <c r="E183" s="14" t="n">
        <v>80</v>
      </c>
      <c r="F183" s="10" t="n">
        <f aca="false">E183/'Correction factors'!$B$10</f>
        <v>6.452</v>
      </c>
      <c r="G183" s="11" t="n">
        <v>358</v>
      </c>
    </row>
    <row r="184" customFormat="false" ht="15" hidden="false" customHeight="false" outlineLevel="0" collapsed="false">
      <c r="A184" s="10" t="n">
        <v>38.8591778278351</v>
      </c>
      <c r="B184" s="11" t="n">
        <v>0</v>
      </c>
      <c r="C184" s="12" t="n">
        <f aca="false">B184*'Correction factors'!$B$7</f>
        <v>0</v>
      </c>
      <c r="D184" s="13" t="n">
        <v>5.74383</v>
      </c>
      <c r="E184" s="14" t="n">
        <v>112</v>
      </c>
      <c r="F184" s="10" t="n">
        <f aca="false">E184/'Correction factors'!$B$10</f>
        <v>9.0328</v>
      </c>
      <c r="G184" s="11" t="n">
        <v>366</v>
      </c>
    </row>
    <row r="185" customFormat="false" ht="15" hidden="false" customHeight="false" outlineLevel="0" collapsed="false">
      <c r="A185" s="10" t="n">
        <v>38.8591778278351</v>
      </c>
      <c r="B185" s="11" t="n">
        <v>0</v>
      </c>
      <c r="C185" s="12" t="n">
        <f aca="false">B185*'Correction factors'!$B$7</f>
        <v>0</v>
      </c>
      <c r="D185" s="13" t="n">
        <v>5.655436</v>
      </c>
      <c r="E185" s="14" t="n">
        <v>112</v>
      </c>
      <c r="F185" s="10" t="n">
        <f aca="false">E185/'Correction factors'!$B$10</f>
        <v>9.0328</v>
      </c>
      <c r="G185" s="11" t="n">
        <v>371</v>
      </c>
    </row>
    <row r="186" customFormat="false" ht="15" hidden="false" customHeight="false" outlineLevel="0" collapsed="false">
      <c r="A186" s="10" t="n">
        <v>38.8591778278351</v>
      </c>
      <c r="B186" s="11" t="n">
        <v>0</v>
      </c>
      <c r="C186" s="12" t="n">
        <f aca="false">B186*'Correction factors'!$B$7</f>
        <v>0</v>
      </c>
      <c r="D186" s="13" t="n">
        <v>5.586685</v>
      </c>
      <c r="E186" s="14" t="n">
        <v>128</v>
      </c>
      <c r="F186" s="10" t="n">
        <f aca="false">E186/'Correction factors'!$B$10</f>
        <v>10.3232</v>
      </c>
      <c r="G186" s="11" t="n">
        <v>377</v>
      </c>
    </row>
    <row r="187" customFormat="false" ht="15" hidden="false" customHeight="false" outlineLevel="0" collapsed="false">
      <c r="A187" s="10" t="n">
        <v>39.3544461727142</v>
      </c>
      <c r="B187" s="11" t="n">
        <v>140</v>
      </c>
      <c r="C187" s="12" t="n">
        <f aca="false">B187*'Correction factors'!$B$7</f>
        <v>677.46</v>
      </c>
      <c r="D187" s="13" t="n">
        <v>5.380431</v>
      </c>
      <c r="E187" s="14" t="n">
        <v>152</v>
      </c>
      <c r="F187" s="10" t="n">
        <f aca="false">E187/'Correction factors'!$B$10</f>
        <v>12.2588</v>
      </c>
      <c r="G187" s="11" t="n">
        <v>385</v>
      </c>
    </row>
    <row r="188" customFormat="false" ht="15" hidden="false" customHeight="false" outlineLevel="0" collapsed="false">
      <c r="A188" s="10" t="n">
        <v>39.3544461727142</v>
      </c>
      <c r="B188" s="11" t="n">
        <v>480</v>
      </c>
      <c r="C188" s="12" t="n">
        <f aca="false">B188*'Correction factors'!$B$7</f>
        <v>2322.72</v>
      </c>
      <c r="D188" s="13" t="n">
        <v>5.223286</v>
      </c>
      <c r="E188" s="14" t="n">
        <v>232</v>
      </c>
      <c r="F188" s="10" t="n">
        <f aca="false">E188/'Correction factors'!$B$10</f>
        <v>18.7108</v>
      </c>
      <c r="G188" s="11" t="n">
        <v>363</v>
      </c>
    </row>
    <row r="189" customFormat="false" ht="15" hidden="false" customHeight="false" outlineLevel="0" collapsed="false">
      <c r="A189" s="10" t="n">
        <v>39.8271360397339</v>
      </c>
      <c r="B189" s="11" t="n">
        <v>420</v>
      </c>
      <c r="C189" s="12" t="n">
        <f aca="false">B189*'Correction factors'!$B$7</f>
        <v>2032.38</v>
      </c>
      <c r="D189" s="13" t="n">
        <v>5.282216</v>
      </c>
      <c r="E189" s="14" t="n">
        <v>208</v>
      </c>
      <c r="F189" s="10" t="n">
        <f aca="false">E189/'Correction factors'!$B$10</f>
        <v>16.7752</v>
      </c>
      <c r="G189" s="11" t="n">
        <v>212</v>
      </c>
    </row>
    <row r="190" customFormat="false" ht="15" hidden="false" customHeight="false" outlineLevel="0" collapsed="false">
      <c r="A190" s="10" t="n">
        <v>39.8271360397339</v>
      </c>
      <c r="B190" s="11" t="n">
        <v>20</v>
      </c>
      <c r="C190" s="12" t="n">
        <f aca="false">B190*'Correction factors'!$B$7</f>
        <v>96.78</v>
      </c>
      <c r="D190" s="13" t="n">
        <v>5.508112</v>
      </c>
      <c r="E190" s="14" t="n">
        <v>32</v>
      </c>
      <c r="F190" s="10" t="n">
        <f aca="false">E190/'Correction factors'!$B$10</f>
        <v>2.5808</v>
      </c>
      <c r="G190" s="11" t="n">
        <v>214</v>
      </c>
    </row>
    <row r="191" customFormat="false" ht="15" hidden="false" customHeight="false" outlineLevel="0" collapsed="false">
      <c r="A191" s="10" t="n">
        <v>40.2815361022949</v>
      </c>
      <c r="B191" s="11" t="n">
        <v>0</v>
      </c>
      <c r="C191" s="12" t="n">
        <f aca="false">B191*'Correction factors'!$B$7</f>
        <v>0</v>
      </c>
      <c r="D191" s="13" t="n">
        <v>5.704544</v>
      </c>
      <c r="E191" s="14" t="n">
        <v>0</v>
      </c>
      <c r="F191" s="10" t="n">
        <f aca="false">E191/'Correction factors'!$B$10</f>
        <v>0</v>
      </c>
      <c r="G191" s="11" t="n">
        <v>340</v>
      </c>
    </row>
    <row r="192" customFormat="false" ht="15" hidden="false" customHeight="false" outlineLevel="0" collapsed="false">
      <c r="A192" s="10" t="n">
        <v>40.2815361022949</v>
      </c>
      <c r="B192" s="11" t="n">
        <v>40</v>
      </c>
      <c r="C192" s="12" t="n">
        <f aca="false">B192*'Correction factors'!$B$7</f>
        <v>193.56</v>
      </c>
      <c r="D192" s="13" t="n">
        <v>5.704544</v>
      </c>
      <c r="E192" s="14" t="n">
        <v>16</v>
      </c>
      <c r="F192" s="10" t="n">
        <f aca="false">E192/'Correction factors'!$B$10</f>
        <v>1.2904</v>
      </c>
      <c r="G192" s="11" t="n">
        <v>347</v>
      </c>
    </row>
    <row r="193" customFormat="false" ht="15" hidden="false" customHeight="false" outlineLevel="0" collapsed="false">
      <c r="A193" s="10" t="n">
        <v>40.2815361022949</v>
      </c>
      <c r="B193" s="11" t="n">
        <v>120</v>
      </c>
      <c r="C193" s="12" t="n">
        <f aca="false">B193*'Correction factors'!$B$7</f>
        <v>580.68</v>
      </c>
      <c r="D193" s="13" t="n">
        <v>5.704544</v>
      </c>
      <c r="E193" s="14" t="n">
        <v>40</v>
      </c>
      <c r="F193" s="10" t="n">
        <f aca="false">E193/'Correction factors'!$B$10</f>
        <v>3.226</v>
      </c>
      <c r="G193" s="11" t="n">
        <v>345</v>
      </c>
    </row>
    <row r="194" customFormat="false" ht="15" hidden="false" customHeight="false" outlineLevel="0" collapsed="false">
      <c r="A194" s="10" t="n">
        <v>40.7874810695648</v>
      </c>
      <c r="B194" s="11" t="n">
        <v>100</v>
      </c>
      <c r="C194" s="12" t="n">
        <f aca="false">B194*'Correction factors'!$B$7</f>
        <v>483.9</v>
      </c>
      <c r="D194" s="13" t="n">
        <v>5.74383</v>
      </c>
      <c r="E194" s="14" t="n">
        <v>48</v>
      </c>
      <c r="F194" s="10" t="n">
        <f aca="false">E194/'Correction factors'!$B$10</f>
        <v>3.8712</v>
      </c>
      <c r="G194" s="11" t="n">
        <v>317</v>
      </c>
    </row>
    <row r="195" customFormat="false" ht="15" hidden="false" customHeight="false" outlineLevel="0" collapsed="false">
      <c r="A195" s="10" t="n">
        <v>40.7874810695648</v>
      </c>
      <c r="B195" s="11" t="n">
        <v>20</v>
      </c>
      <c r="C195" s="12" t="n">
        <f aca="false">B195*'Correction factors'!$B$7</f>
        <v>96.78</v>
      </c>
      <c r="D195" s="13" t="n">
        <v>5.80276</v>
      </c>
      <c r="E195" s="14" t="n">
        <v>24</v>
      </c>
      <c r="F195" s="10" t="n">
        <f aca="false">E195/'Correction factors'!$B$10</f>
        <v>1.9356</v>
      </c>
      <c r="G195" s="11" t="n">
        <v>319</v>
      </c>
    </row>
    <row r="196" customFormat="false" ht="15" hidden="false" customHeight="false" outlineLevel="0" collapsed="false">
      <c r="A196" s="10" t="n">
        <v>41.2305216789246</v>
      </c>
      <c r="B196" s="11" t="n">
        <v>0</v>
      </c>
      <c r="C196" s="12" t="n">
        <f aca="false">B196*'Correction factors'!$B$7</f>
        <v>0</v>
      </c>
      <c r="D196" s="13" t="n">
        <v>5.792939</v>
      </c>
      <c r="E196" s="14" t="n">
        <v>24</v>
      </c>
      <c r="F196" s="10" t="n">
        <f aca="false">E196/'Correction factors'!$B$10</f>
        <v>1.9356</v>
      </c>
      <c r="G196" s="11" t="n">
        <v>352</v>
      </c>
    </row>
    <row r="197" customFormat="false" ht="15" hidden="false" customHeight="false" outlineLevel="0" collapsed="false">
      <c r="A197" s="10" t="n">
        <v>41.2305216789246</v>
      </c>
      <c r="B197" s="11" t="n">
        <v>120</v>
      </c>
      <c r="C197" s="12" t="n">
        <f aca="false">B197*'Correction factors'!$B$7</f>
        <v>580.68</v>
      </c>
      <c r="D197" s="13" t="n">
        <v>5.74383</v>
      </c>
      <c r="E197" s="14" t="n">
        <v>64</v>
      </c>
      <c r="F197" s="10" t="n">
        <f aca="false">E197/'Correction factors'!$B$10</f>
        <v>5.1616</v>
      </c>
      <c r="G197" s="11" t="n">
        <v>357</v>
      </c>
    </row>
    <row r="198" customFormat="false" ht="15" hidden="false" customHeight="false" outlineLevel="0" collapsed="false">
      <c r="A198" s="10" t="n">
        <v>41.677080154419</v>
      </c>
      <c r="B198" s="11" t="n">
        <v>180</v>
      </c>
      <c r="C198" s="12" t="n">
        <f aca="false">B198*'Correction factors'!$B$7</f>
        <v>871.02</v>
      </c>
      <c r="D198" s="13" t="n">
        <v>5.724187</v>
      </c>
      <c r="E198" s="14" t="n">
        <v>72</v>
      </c>
      <c r="F198" s="10" t="n">
        <f aca="false">E198/'Correction factors'!$B$10</f>
        <v>5.8068</v>
      </c>
      <c r="G198" s="11" t="n">
        <v>327</v>
      </c>
    </row>
    <row r="199" customFormat="false" ht="15" hidden="false" customHeight="false" outlineLevel="0" collapsed="false">
      <c r="A199" s="10" t="n">
        <v>41.677080154419</v>
      </c>
      <c r="B199" s="11" t="n">
        <v>120</v>
      </c>
      <c r="C199" s="12" t="n">
        <f aca="false">B199*'Correction factors'!$B$7</f>
        <v>580.68</v>
      </c>
      <c r="D199" s="13" t="n">
        <v>5.734009</v>
      </c>
      <c r="E199" s="14" t="n">
        <v>56</v>
      </c>
      <c r="F199" s="10" t="n">
        <f aca="false">E199/'Correction factors'!$B$10</f>
        <v>4.5164</v>
      </c>
      <c r="G199" s="11" t="n">
        <v>317</v>
      </c>
    </row>
    <row r="200" customFormat="false" ht="15" hidden="false" customHeight="false" outlineLevel="0" collapsed="false">
      <c r="A200" s="10" t="n">
        <v>42.1249055862427</v>
      </c>
      <c r="B200" s="11" t="n">
        <v>100</v>
      </c>
      <c r="C200" s="12" t="n">
        <f aca="false">B200*'Correction factors'!$B$7</f>
        <v>483.9</v>
      </c>
      <c r="D200" s="13" t="n">
        <v>5.753652</v>
      </c>
      <c r="E200" s="14" t="n">
        <v>40</v>
      </c>
      <c r="F200" s="10" t="n">
        <f aca="false">E200/'Correction factors'!$B$10</f>
        <v>3.226</v>
      </c>
      <c r="G200" s="11" t="n">
        <v>322</v>
      </c>
    </row>
    <row r="201" customFormat="false" ht="15" hidden="false" customHeight="false" outlineLevel="0" collapsed="false">
      <c r="A201" s="10" t="n">
        <v>42.1249055862427</v>
      </c>
      <c r="B201" s="11" t="n">
        <v>0</v>
      </c>
      <c r="C201" s="12" t="n">
        <f aca="false">B201*'Correction factors'!$B$7</f>
        <v>0</v>
      </c>
      <c r="D201" s="13" t="n">
        <v>5.80276</v>
      </c>
      <c r="E201" s="14" t="n">
        <v>24</v>
      </c>
      <c r="F201" s="10" t="n">
        <f aca="false">E201/'Correction factors'!$B$10</f>
        <v>1.9356</v>
      </c>
      <c r="G201" s="11" t="n">
        <v>326</v>
      </c>
    </row>
    <row r="202" customFormat="false" ht="15" hidden="false" customHeight="false" outlineLevel="0" collapsed="false">
      <c r="A202" s="10" t="n">
        <v>42.57825922966</v>
      </c>
      <c r="B202" s="11" t="n">
        <v>0</v>
      </c>
      <c r="C202" s="12" t="n">
        <f aca="false">B202*'Correction factors'!$B$7</f>
        <v>0</v>
      </c>
      <c r="D202" s="13" t="n">
        <v>5.842046</v>
      </c>
      <c r="E202" s="14" t="n">
        <v>24</v>
      </c>
      <c r="F202" s="10" t="n">
        <f aca="false">E202/'Correction factors'!$B$10</f>
        <v>1.9356</v>
      </c>
      <c r="G202" s="11" t="n">
        <v>365</v>
      </c>
    </row>
    <row r="203" customFormat="false" ht="15" hidden="false" customHeight="false" outlineLevel="0" collapsed="false">
      <c r="A203" s="10" t="n">
        <v>42.57825922966</v>
      </c>
      <c r="B203" s="11" t="n">
        <v>120</v>
      </c>
      <c r="C203" s="12" t="n">
        <f aca="false">B203*'Correction factors'!$B$7</f>
        <v>580.68</v>
      </c>
      <c r="D203" s="13" t="n">
        <v>5.684901</v>
      </c>
      <c r="E203" s="14" t="n">
        <v>72</v>
      </c>
      <c r="F203" s="10" t="n">
        <f aca="false">E203/'Correction factors'!$B$10</f>
        <v>5.8068</v>
      </c>
      <c r="G203" s="11" t="n">
        <v>365</v>
      </c>
    </row>
    <row r="204" customFormat="false" ht="15" hidden="false" customHeight="false" outlineLevel="0" collapsed="false">
      <c r="A204" s="10" t="n">
        <v>42.57825922966</v>
      </c>
      <c r="B204" s="11" t="n">
        <v>360</v>
      </c>
      <c r="C204" s="12" t="n">
        <f aca="false">B204*'Correction factors'!$B$7</f>
        <v>1742.04</v>
      </c>
      <c r="D204" s="13" t="n">
        <v>5.576863</v>
      </c>
      <c r="E204" s="14" t="n">
        <v>136</v>
      </c>
      <c r="F204" s="10" t="n">
        <f aca="false">E204/'Correction factors'!$B$10</f>
        <v>10.9684</v>
      </c>
      <c r="G204" s="11" t="n">
        <v>349</v>
      </c>
    </row>
    <row r="205" customFormat="false" ht="15" hidden="false" customHeight="false" outlineLevel="0" collapsed="false">
      <c r="A205" s="10" t="n">
        <v>43.0948386192322</v>
      </c>
      <c r="B205" s="11" t="n">
        <v>240</v>
      </c>
      <c r="C205" s="12" t="n">
        <f aca="false">B205*'Correction factors'!$B$7</f>
        <v>1161.36</v>
      </c>
      <c r="D205" s="13" t="n">
        <v>5.714366</v>
      </c>
      <c r="E205" s="14" t="n">
        <v>120</v>
      </c>
      <c r="F205" s="10" t="n">
        <f aca="false">E205/'Correction factors'!$B$10</f>
        <v>9.678</v>
      </c>
      <c r="G205" s="11" t="n">
        <v>242</v>
      </c>
    </row>
    <row r="206" customFormat="false" ht="15" hidden="false" customHeight="false" outlineLevel="0" collapsed="false">
      <c r="A206" s="10" t="n">
        <v>43.0948386192322</v>
      </c>
      <c r="B206" s="11" t="n">
        <v>0</v>
      </c>
      <c r="C206" s="12" t="n">
        <f aca="false">B206*'Correction factors'!$B$7</f>
        <v>0</v>
      </c>
      <c r="D206" s="13" t="n">
        <v>5.891154</v>
      </c>
      <c r="E206" s="14" t="n">
        <v>24</v>
      </c>
      <c r="F206" s="10" t="n">
        <f aca="false">E206/'Correction factors'!$B$10</f>
        <v>1.9356</v>
      </c>
      <c r="G206" s="11" t="n">
        <v>252</v>
      </c>
    </row>
    <row r="207" customFormat="false" ht="15" hidden="false" customHeight="false" outlineLevel="0" collapsed="false">
      <c r="A207" s="10" t="n">
        <v>43.5342299938202</v>
      </c>
      <c r="B207" s="11" t="n">
        <v>0</v>
      </c>
      <c r="C207" s="12" t="n">
        <f aca="false">B207*'Correction factors'!$B$7</f>
        <v>0</v>
      </c>
      <c r="D207" s="13" t="n">
        <v>5.999192</v>
      </c>
      <c r="E207" s="14" t="n">
        <v>0</v>
      </c>
      <c r="F207" s="10" t="n">
        <f aca="false">E207/'Correction factors'!$B$10</f>
        <v>0</v>
      </c>
      <c r="G207" s="11" t="n">
        <v>351</v>
      </c>
    </row>
    <row r="208" customFormat="false" ht="15" hidden="false" customHeight="false" outlineLevel="0" collapsed="false">
      <c r="A208" s="10" t="n">
        <v>43.5342299938202</v>
      </c>
      <c r="B208" s="11" t="n">
        <v>180</v>
      </c>
      <c r="C208" s="12" t="n">
        <f aca="false">B208*'Correction factors'!$B$7</f>
        <v>871.02</v>
      </c>
      <c r="D208" s="13" t="n">
        <v>5.851868</v>
      </c>
      <c r="E208" s="14" t="n">
        <v>48</v>
      </c>
      <c r="F208" s="10" t="n">
        <f aca="false">E208/'Correction factors'!$B$10</f>
        <v>3.8712</v>
      </c>
      <c r="G208" s="11" t="n">
        <v>352</v>
      </c>
    </row>
    <row r="209" customFormat="false" ht="15" hidden="false" customHeight="false" outlineLevel="0" collapsed="false">
      <c r="A209" s="10" t="n">
        <v>43.9816715717316</v>
      </c>
      <c r="B209" s="11" t="n">
        <v>280</v>
      </c>
      <c r="C209" s="12" t="n">
        <f aca="false">B209*'Correction factors'!$B$7</f>
        <v>1354.92</v>
      </c>
      <c r="D209" s="13" t="n">
        <v>5.80276</v>
      </c>
      <c r="E209" s="14" t="n">
        <v>96</v>
      </c>
      <c r="F209" s="10" t="n">
        <f aca="false">E209/'Correction factors'!$B$10</f>
        <v>7.7424</v>
      </c>
      <c r="G209" s="11" t="n">
        <v>295</v>
      </c>
    </row>
    <row r="210" customFormat="false" ht="15" hidden="false" customHeight="false" outlineLevel="0" collapsed="false">
      <c r="A210" s="10" t="n">
        <v>43.9816715717316</v>
      </c>
      <c r="B210" s="11" t="n">
        <v>80</v>
      </c>
      <c r="C210" s="12" t="n">
        <f aca="false">B210*'Correction factors'!$B$7</f>
        <v>387.12</v>
      </c>
      <c r="D210" s="13" t="n">
        <v>5.900976</v>
      </c>
      <c r="E210" s="14" t="n">
        <v>48</v>
      </c>
      <c r="F210" s="10" t="n">
        <f aca="false">E210/'Correction factors'!$B$10</f>
        <v>3.8712</v>
      </c>
      <c r="G210" s="11" t="n">
        <v>282</v>
      </c>
    </row>
    <row r="211" customFormat="false" ht="15" hidden="false" customHeight="false" outlineLevel="0" collapsed="false">
      <c r="A211" s="10" t="n">
        <v>44.432234287262</v>
      </c>
      <c r="B211" s="11" t="n">
        <v>0</v>
      </c>
      <c r="C211" s="12" t="n">
        <f aca="false">B211*'Correction factors'!$B$7</f>
        <v>0</v>
      </c>
      <c r="D211" s="13" t="n">
        <v>5.98937</v>
      </c>
      <c r="E211" s="14" t="n">
        <v>8</v>
      </c>
      <c r="F211" s="10" t="n">
        <f aca="false">E211/'Correction factors'!$B$10</f>
        <v>0.6452</v>
      </c>
      <c r="G211" s="11" t="n">
        <v>317</v>
      </c>
    </row>
    <row r="212" customFormat="false" ht="15" hidden="false" customHeight="false" outlineLevel="0" collapsed="false">
      <c r="A212" s="10" t="n">
        <v>44.432234287262</v>
      </c>
      <c r="B212" s="11" t="n">
        <v>0</v>
      </c>
      <c r="C212" s="12" t="n">
        <f aca="false">B212*'Correction factors'!$B$7</f>
        <v>0</v>
      </c>
      <c r="D212" s="13" t="n">
        <v>6.058122</v>
      </c>
      <c r="E212" s="14" t="n">
        <v>0</v>
      </c>
      <c r="F212" s="10" t="n">
        <f aca="false">E212/'Correction factors'!$B$10</f>
        <v>0</v>
      </c>
      <c r="G212" s="11" t="n">
        <v>332</v>
      </c>
    </row>
    <row r="213" customFormat="false" ht="15" hidden="false" customHeight="false" outlineLevel="0" collapsed="false">
      <c r="A213" s="10" t="n">
        <v>44.432234287262</v>
      </c>
      <c r="B213" s="11" t="n">
        <v>0</v>
      </c>
      <c r="C213" s="12" t="n">
        <f aca="false">B213*'Correction factors'!$B$7</f>
        <v>0</v>
      </c>
      <c r="D213" s="13" t="n">
        <v>6.117051</v>
      </c>
      <c r="E213" s="14" t="n">
        <v>0</v>
      </c>
      <c r="F213" s="10" t="n">
        <f aca="false">E213/'Correction factors'!$B$10</f>
        <v>0</v>
      </c>
      <c r="G213" s="11" t="n">
        <v>350</v>
      </c>
    </row>
    <row r="214" customFormat="false" ht="15" hidden="false" customHeight="false" outlineLevel="0" collapsed="false">
      <c r="A214" s="10" t="n">
        <v>44.9168965816498</v>
      </c>
      <c r="B214" s="11" t="n">
        <v>120</v>
      </c>
      <c r="C214" s="12" t="n">
        <f aca="false">B214*'Correction factors'!$B$7</f>
        <v>580.68</v>
      </c>
      <c r="D214" s="13" t="n">
        <v>5.979549</v>
      </c>
      <c r="E214" s="14" t="n">
        <v>40</v>
      </c>
      <c r="F214" s="10" t="n">
        <f aca="false">E214/'Correction factors'!$B$10</f>
        <v>3.226</v>
      </c>
      <c r="G214" s="11" t="n">
        <v>360</v>
      </c>
    </row>
    <row r="215" customFormat="false" ht="15" hidden="false" customHeight="false" outlineLevel="0" collapsed="false">
      <c r="A215" s="10" t="n">
        <v>44.9168965816498</v>
      </c>
      <c r="B215" s="11" t="n">
        <v>300</v>
      </c>
      <c r="C215" s="12" t="n">
        <f aca="false">B215*'Correction factors'!$B$7</f>
        <v>1451.7</v>
      </c>
      <c r="D215" s="13" t="n">
        <v>5.86169</v>
      </c>
      <c r="E215" s="14" t="n">
        <v>96</v>
      </c>
      <c r="F215" s="10" t="n">
        <f aca="false">E215/'Correction factors'!$B$10</f>
        <v>7.7424</v>
      </c>
      <c r="G215" s="11" t="n">
        <v>345</v>
      </c>
    </row>
    <row r="216" customFormat="false" ht="15" hidden="false" customHeight="false" outlineLevel="0" collapsed="false">
      <c r="A216" s="10" t="n">
        <v>45.358237028122</v>
      </c>
      <c r="B216" s="11" t="n">
        <v>220</v>
      </c>
      <c r="C216" s="12" t="n">
        <f aca="false">B216*'Correction factors'!$B$7</f>
        <v>1064.58</v>
      </c>
      <c r="D216" s="13" t="n">
        <v>5.92062</v>
      </c>
      <c r="E216" s="14" t="n">
        <v>88</v>
      </c>
      <c r="F216" s="10" t="n">
        <f aca="false">E216/'Correction factors'!$B$10</f>
        <v>7.0972</v>
      </c>
      <c r="G216" s="11" t="n">
        <v>255</v>
      </c>
    </row>
    <row r="217" customFormat="false" ht="15" hidden="false" customHeight="false" outlineLevel="0" collapsed="false">
      <c r="A217" s="10" t="n">
        <v>45.358237028122</v>
      </c>
      <c r="B217" s="11" t="n">
        <v>20</v>
      </c>
      <c r="C217" s="12" t="n">
        <f aca="false">B217*'Correction factors'!$B$7</f>
        <v>96.78</v>
      </c>
      <c r="D217" s="13" t="n">
        <v>6.0483</v>
      </c>
      <c r="E217" s="14" t="n">
        <v>24</v>
      </c>
      <c r="F217" s="10" t="n">
        <f aca="false">E217/'Correction factors'!$B$10</f>
        <v>1.9356</v>
      </c>
      <c r="G217" s="11" t="n">
        <v>264</v>
      </c>
    </row>
    <row r="218" customFormat="false" ht="15" hidden="false" customHeight="false" outlineLevel="0" collapsed="false">
      <c r="A218" s="10" t="n">
        <v>45.7824664115906</v>
      </c>
      <c r="B218" s="11" t="n">
        <v>0</v>
      </c>
      <c r="C218" s="12" t="n">
        <f aca="false">B218*'Correction factors'!$B$7</f>
        <v>0</v>
      </c>
      <c r="D218" s="13" t="n">
        <v>6.136694</v>
      </c>
      <c r="E218" s="14" t="n">
        <v>0</v>
      </c>
      <c r="F218" s="10" t="n">
        <f aca="false">E218/'Correction factors'!$B$10</f>
        <v>0</v>
      </c>
      <c r="G218" s="11" t="n">
        <v>336</v>
      </c>
    </row>
    <row r="219" customFormat="false" ht="15" hidden="false" customHeight="false" outlineLevel="0" collapsed="false">
      <c r="A219" s="10" t="n">
        <v>45.7824664115906</v>
      </c>
      <c r="B219" s="11" t="n">
        <v>60</v>
      </c>
      <c r="C219" s="12" t="n">
        <f aca="false">B219*'Correction factors'!$B$7</f>
        <v>290.34</v>
      </c>
      <c r="D219" s="13" t="n">
        <v>6.077765</v>
      </c>
      <c r="E219" s="14" t="n">
        <v>24</v>
      </c>
      <c r="F219" s="10" t="n">
        <f aca="false">E219/'Correction factors'!$B$10</f>
        <v>1.9356</v>
      </c>
      <c r="G219" s="11" t="n">
        <v>341</v>
      </c>
    </row>
    <row r="220" customFormat="false" ht="15" hidden="false" customHeight="false" outlineLevel="0" collapsed="false">
      <c r="A220" s="10" t="n">
        <v>46.1930370330811</v>
      </c>
      <c r="B220" s="11" t="n">
        <v>100</v>
      </c>
      <c r="C220" s="12" t="n">
        <f aca="false">B220*'Correction factors'!$B$7</f>
        <v>483.9</v>
      </c>
      <c r="D220" s="13" t="n">
        <v>6.038478</v>
      </c>
      <c r="E220" s="14" t="n">
        <v>40</v>
      </c>
      <c r="F220" s="10" t="n">
        <f aca="false">E220/'Correction factors'!$B$10</f>
        <v>3.226</v>
      </c>
      <c r="G220" s="11" t="n">
        <v>335</v>
      </c>
    </row>
    <row r="221" customFormat="false" ht="15" hidden="false" customHeight="false" outlineLevel="0" collapsed="false">
      <c r="A221" s="10" t="n">
        <v>46.1930370330811</v>
      </c>
      <c r="B221" s="11" t="n">
        <v>120</v>
      </c>
      <c r="C221" s="12" t="n">
        <f aca="false">B221*'Correction factors'!$B$7</f>
        <v>580.68</v>
      </c>
      <c r="D221" s="13" t="n">
        <v>6.009014</v>
      </c>
      <c r="E221" s="14" t="n">
        <v>40</v>
      </c>
      <c r="F221" s="10" t="n">
        <f aca="false">E221/'Correction factors'!$B$10</f>
        <v>3.226</v>
      </c>
      <c r="G221" s="11" t="n">
        <v>327</v>
      </c>
    </row>
    <row r="222" customFormat="false" ht="15" hidden="false" customHeight="false" outlineLevel="0" collapsed="false">
      <c r="A222" s="10" t="n">
        <v>46.6110272407532</v>
      </c>
      <c r="B222" s="11" t="n">
        <v>100</v>
      </c>
      <c r="C222" s="12" t="n">
        <f aca="false">B222*'Correction factors'!$B$7</f>
        <v>483.9</v>
      </c>
      <c r="D222" s="13" t="n">
        <v>5.98937</v>
      </c>
      <c r="E222" s="14" t="n">
        <v>40</v>
      </c>
      <c r="F222" s="10" t="n">
        <f aca="false">E222/'Correction factors'!$B$10</f>
        <v>3.226</v>
      </c>
      <c r="G222" s="11" t="n">
        <v>317</v>
      </c>
    </row>
    <row r="223" customFormat="false" ht="15" hidden="false" customHeight="false" outlineLevel="0" collapsed="false">
      <c r="A223" s="10" t="n">
        <v>46.6110272407532</v>
      </c>
      <c r="B223" s="11" t="n">
        <v>40</v>
      </c>
      <c r="C223" s="12" t="n">
        <f aca="false">B223*'Correction factors'!$B$7</f>
        <v>193.56</v>
      </c>
      <c r="D223" s="13" t="n">
        <v>6.009014</v>
      </c>
      <c r="E223" s="14" t="n">
        <v>24</v>
      </c>
      <c r="F223" s="10" t="n">
        <f aca="false">E223/'Correction factors'!$B$10</f>
        <v>1.9356</v>
      </c>
      <c r="G223" s="11" t="n">
        <v>319</v>
      </c>
    </row>
    <row r="224" customFormat="false" ht="15" hidden="false" customHeight="false" outlineLevel="0" collapsed="false">
      <c r="A224" s="10" t="n">
        <v>47.0315585136414</v>
      </c>
      <c r="B224" s="11" t="n">
        <v>0</v>
      </c>
      <c r="C224" s="12" t="n">
        <f aca="false">B224*'Correction factors'!$B$7</f>
        <v>0</v>
      </c>
      <c r="D224" s="13" t="n">
        <v>6.018835</v>
      </c>
      <c r="E224" s="14" t="n">
        <v>24</v>
      </c>
      <c r="F224" s="10" t="n">
        <f aca="false">E224/'Correction factors'!$B$10</f>
        <v>1.9356</v>
      </c>
      <c r="G224" s="11" t="n">
        <v>343</v>
      </c>
    </row>
    <row r="225" customFormat="false" ht="15" hidden="false" customHeight="false" outlineLevel="0" collapsed="false">
      <c r="A225" s="10" t="n">
        <v>47.0315585136414</v>
      </c>
      <c r="B225" s="11" t="n">
        <v>0</v>
      </c>
      <c r="C225" s="12" t="n">
        <f aca="false">B225*'Correction factors'!$B$7</f>
        <v>0</v>
      </c>
      <c r="D225" s="13" t="n">
        <v>5.999192</v>
      </c>
      <c r="E225" s="14" t="n">
        <v>32</v>
      </c>
      <c r="F225" s="10" t="n">
        <f aca="false">E225/'Correction factors'!$B$10</f>
        <v>2.5808</v>
      </c>
      <c r="G225" s="11" t="n">
        <v>349</v>
      </c>
    </row>
    <row r="226" customFormat="false" ht="15" hidden="false" customHeight="false" outlineLevel="0" collapsed="false">
      <c r="A226" s="10" t="n">
        <v>47.4787149429321</v>
      </c>
      <c r="B226" s="11" t="n">
        <v>0</v>
      </c>
      <c r="C226" s="12" t="n">
        <f aca="false">B226*'Correction factors'!$B$7</f>
        <v>0</v>
      </c>
      <c r="D226" s="13" t="n">
        <v>5.900976</v>
      </c>
      <c r="E226" s="14" t="n">
        <v>40</v>
      </c>
      <c r="F226" s="10" t="n">
        <f aca="false">E226/'Correction factors'!$B$10</f>
        <v>3.226</v>
      </c>
      <c r="G226" s="11" t="n">
        <v>368</v>
      </c>
    </row>
    <row r="227" customFormat="false" ht="15" hidden="false" customHeight="false" outlineLevel="0" collapsed="false">
      <c r="A227" s="10" t="n">
        <v>47.4787149429321</v>
      </c>
      <c r="B227" s="11" t="n">
        <v>300</v>
      </c>
      <c r="C227" s="12" t="n">
        <f aca="false">B227*'Correction factors'!$B$7</f>
        <v>1451.7</v>
      </c>
      <c r="D227" s="13" t="n">
        <v>5.773295</v>
      </c>
      <c r="E227" s="14" t="n">
        <v>112</v>
      </c>
      <c r="F227" s="10" t="n">
        <f aca="false">E227/'Correction factors'!$B$10</f>
        <v>9.0328</v>
      </c>
      <c r="G227" s="11" t="n">
        <v>368</v>
      </c>
    </row>
    <row r="228" customFormat="false" ht="15" hidden="false" customHeight="false" outlineLevel="0" collapsed="false">
      <c r="A228" s="10" t="n">
        <v>47.8919603824616</v>
      </c>
      <c r="B228" s="11" t="n">
        <v>380</v>
      </c>
      <c r="C228" s="12" t="n">
        <f aca="false">B228*'Correction factors'!$B$7</f>
        <v>1838.82</v>
      </c>
      <c r="D228" s="13" t="n">
        <v>5.655436</v>
      </c>
      <c r="E228" s="14" t="n">
        <v>144</v>
      </c>
      <c r="F228" s="10" t="n">
        <f aca="false">E228/'Correction factors'!$B$10</f>
        <v>11.6136</v>
      </c>
      <c r="G228" s="11" t="n">
        <v>269</v>
      </c>
    </row>
    <row r="229" customFormat="false" ht="15" hidden="false" customHeight="false" outlineLevel="0" collapsed="false">
      <c r="A229" s="10" t="n">
        <v>47.8919603824616</v>
      </c>
      <c r="B229" s="11" t="n">
        <v>120</v>
      </c>
      <c r="C229" s="12" t="n">
        <f aca="false">B229*'Correction factors'!$B$7</f>
        <v>580.68</v>
      </c>
      <c r="D229" s="13" t="n">
        <v>5.842046</v>
      </c>
      <c r="E229" s="14" t="n">
        <v>80</v>
      </c>
      <c r="F229" s="10" t="n">
        <f aca="false">E229/'Correction factors'!$B$10</f>
        <v>6.452</v>
      </c>
      <c r="G229" s="11" t="n">
        <v>258</v>
      </c>
    </row>
    <row r="230" customFormat="false" ht="15" hidden="false" customHeight="false" outlineLevel="0" collapsed="false">
      <c r="A230" s="10" t="n">
        <v>48.3162846565247</v>
      </c>
      <c r="B230" s="11" t="n">
        <v>0</v>
      </c>
      <c r="C230" s="12" t="n">
        <f aca="false">B230*'Correction factors'!$B$7</f>
        <v>0</v>
      </c>
      <c r="D230" s="13" t="n">
        <v>5.940262</v>
      </c>
      <c r="E230" s="14" t="n">
        <v>16</v>
      </c>
      <c r="F230" s="10" t="n">
        <f aca="false">E230/'Correction factors'!$B$10</f>
        <v>1.2904</v>
      </c>
      <c r="G230" s="11" t="n">
        <v>306</v>
      </c>
    </row>
    <row r="231" customFormat="false" ht="15" hidden="false" customHeight="false" outlineLevel="0" collapsed="false">
      <c r="A231" s="10" t="n">
        <v>48.3162846565247</v>
      </c>
      <c r="B231" s="11" t="n">
        <v>0</v>
      </c>
      <c r="C231" s="12" t="n">
        <f aca="false">B231*'Correction factors'!$B$7</f>
        <v>0</v>
      </c>
      <c r="D231" s="13" t="n">
        <v>6.028656</v>
      </c>
      <c r="E231" s="14" t="n">
        <v>0</v>
      </c>
      <c r="F231" s="10" t="n">
        <f aca="false">E231/'Correction factors'!$B$10</f>
        <v>0</v>
      </c>
      <c r="G231" s="11" t="n">
        <v>325</v>
      </c>
    </row>
    <row r="232" customFormat="false" ht="15" hidden="false" customHeight="false" outlineLevel="0" collapsed="false">
      <c r="A232" s="10" t="n">
        <v>48.7475032806397</v>
      </c>
      <c r="B232" s="11" t="n">
        <v>0</v>
      </c>
      <c r="C232" s="12" t="n">
        <f aca="false">B232*'Correction factors'!$B$7</f>
        <v>0</v>
      </c>
      <c r="D232" s="13" t="n">
        <v>6.087586</v>
      </c>
      <c r="E232" s="14" t="n">
        <v>0</v>
      </c>
      <c r="F232" s="10" t="n">
        <f aca="false">E232/'Correction factors'!$B$10</f>
        <v>0</v>
      </c>
      <c r="G232" s="11" t="n">
        <v>355</v>
      </c>
    </row>
    <row r="233" customFormat="false" ht="15" hidden="false" customHeight="false" outlineLevel="0" collapsed="false">
      <c r="A233" s="10" t="n">
        <v>48.7475032806397</v>
      </c>
      <c r="B233" s="11" t="n">
        <v>120</v>
      </c>
      <c r="C233" s="12" t="n">
        <f aca="false">B233*'Correction factors'!$B$7</f>
        <v>580.68</v>
      </c>
      <c r="D233" s="13" t="n">
        <v>5.940262</v>
      </c>
      <c r="E233" s="14" t="n">
        <v>48</v>
      </c>
      <c r="F233" s="10" t="n">
        <f aca="false">E233/'Correction factors'!$B$10</f>
        <v>3.8712</v>
      </c>
      <c r="G233" s="11" t="n">
        <v>356</v>
      </c>
    </row>
    <row r="234" customFormat="false" ht="15" hidden="false" customHeight="false" outlineLevel="0" collapsed="false">
      <c r="A234" s="10" t="n">
        <v>48.7475032806397</v>
      </c>
      <c r="B234" s="11" t="n">
        <v>280</v>
      </c>
      <c r="C234" s="12" t="n">
        <f aca="false">B234*'Correction factors'!$B$7</f>
        <v>1354.92</v>
      </c>
      <c r="D234" s="13" t="n">
        <v>5.842046</v>
      </c>
      <c r="E234" s="14" t="n">
        <v>96</v>
      </c>
      <c r="F234" s="10" t="n">
        <f aca="false">E234/'Correction factors'!$B$10</f>
        <v>7.7424</v>
      </c>
      <c r="G234" s="11" t="n">
        <v>331</v>
      </c>
    </row>
    <row r="235" customFormat="false" ht="15" hidden="false" customHeight="false" outlineLevel="0" collapsed="false">
      <c r="A235" s="10" t="n">
        <v>49.2204537391663</v>
      </c>
      <c r="B235" s="11" t="n">
        <v>160</v>
      </c>
      <c r="C235" s="12" t="n">
        <f aca="false">B235*'Correction factors'!$B$7</f>
        <v>774.24</v>
      </c>
      <c r="D235" s="13" t="n">
        <v>5.940262</v>
      </c>
      <c r="E235" s="14" t="n">
        <v>80</v>
      </c>
      <c r="F235" s="10" t="n">
        <f aca="false">E235/'Correction factors'!$B$10</f>
        <v>6.452</v>
      </c>
      <c r="G235" s="11" t="n">
        <v>264</v>
      </c>
    </row>
    <row r="236" customFormat="false" ht="15" hidden="false" customHeight="false" outlineLevel="0" collapsed="false">
      <c r="A236" s="10" t="n">
        <v>49.2204537391663</v>
      </c>
      <c r="B236" s="11" t="n">
        <v>0</v>
      </c>
      <c r="C236" s="12" t="n">
        <f aca="false">B236*'Correction factors'!$B$7</f>
        <v>0</v>
      </c>
      <c r="D236" s="13" t="n">
        <v>6.058122</v>
      </c>
      <c r="E236" s="14" t="n">
        <v>8</v>
      </c>
      <c r="F236" s="10" t="n">
        <f aca="false">E236/'Correction factors'!$B$10</f>
        <v>0.6452</v>
      </c>
      <c r="G236" s="11" t="n">
        <v>276</v>
      </c>
    </row>
    <row r="237" customFormat="false" ht="15" hidden="false" customHeight="false" outlineLevel="0" collapsed="false">
      <c r="A237" s="10" t="n">
        <v>49.6525986194611</v>
      </c>
      <c r="B237" s="11" t="n">
        <v>20</v>
      </c>
      <c r="C237" s="12" t="n">
        <f aca="false">B237*'Correction factors'!$B$7</f>
        <v>96.78</v>
      </c>
      <c r="D237" s="13" t="n">
        <v>6.009014</v>
      </c>
      <c r="E237" s="14" t="n">
        <v>8</v>
      </c>
      <c r="F237" s="10" t="n">
        <f aca="false">E237/'Correction factors'!$B$10</f>
        <v>0.6452</v>
      </c>
      <c r="G237" s="11" t="n">
        <v>351</v>
      </c>
    </row>
    <row r="238" customFormat="false" ht="15" hidden="false" customHeight="false" outlineLevel="0" collapsed="false">
      <c r="A238" s="10" t="n">
        <v>49.6525986194611</v>
      </c>
      <c r="B238" s="11" t="n">
        <v>260</v>
      </c>
      <c r="C238" s="12" t="n">
        <f aca="false">B238*'Correction factors'!$B$7</f>
        <v>1258.14</v>
      </c>
      <c r="D238" s="13" t="n">
        <v>5.891154</v>
      </c>
      <c r="E238" s="14" t="n">
        <v>88</v>
      </c>
      <c r="F238" s="10" t="n">
        <f aca="false">E238/'Correction factors'!$B$10</f>
        <v>7.0972</v>
      </c>
      <c r="G238" s="11" t="n">
        <v>350</v>
      </c>
    </row>
    <row r="239" customFormat="false" ht="15" hidden="false" customHeight="false" outlineLevel="0" collapsed="false">
      <c r="A239" s="10" t="n">
        <v>50.0696926116943</v>
      </c>
      <c r="B239" s="11" t="n">
        <v>240</v>
      </c>
      <c r="C239" s="12" t="n">
        <f aca="false">B239*'Correction factors'!$B$7</f>
        <v>1161.36</v>
      </c>
      <c r="D239" s="13" t="n">
        <v>5.940262</v>
      </c>
      <c r="E239" s="14" t="n">
        <v>88</v>
      </c>
      <c r="F239" s="10" t="n">
        <f aca="false">E239/'Correction factors'!$B$10</f>
        <v>7.0972</v>
      </c>
      <c r="G239" s="11" t="n">
        <v>268</v>
      </c>
    </row>
    <row r="240" customFormat="false" ht="15" hidden="false" customHeight="false" outlineLevel="0" collapsed="false">
      <c r="A240" s="10" t="n">
        <v>50.0696926116943</v>
      </c>
      <c r="B240" s="11" t="n">
        <v>20</v>
      </c>
      <c r="C240" s="12" t="n">
        <f aca="false">B240*'Correction factors'!$B$7</f>
        <v>96.78</v>
      </c>
      <c r="D240" s="13" t="n">
        <v>6.028656</v>
      </c>
      <c r="E240" s="14" t="n">
        <v>24</v>
      </c>
      <c r="F240" s="10" t="n">
        <f aca="false">E240/'Correction factors'!$B$10</f>
        <v>1.9356</v>
      </c>
      <c r="G240" s="11" t="n">
        <v>269</v>
      </c>
    </row>
    <row r="241" customFormat="false" ht="15" hidden="false" customHeight="false" outlineLevel="0" collapsed="false">
      <c r="A241" s="10" t="n">
        <v>50.4993710517883</v>
      </c>
      <c r="B241" s="11" t="n">
        <v>0</v>
      </c>
      <c r="C241" s="12" t="n">
        <f aca="false">B241*'Correction factors'!$B$7</f>
        <v>0</v>
      </c>
      <c r="D241" s="13" t="n">
        <v>6.077765</v>
      </c>
      <c r="E241" s="14" t="n">
        <v>0</v>
      </c>
      <c r="F241" s="10" t="n">
        <f aca="false">E241/'Correction factors'!$B$10</f>
        <v>0</v>
      </c>
      <c r="G241" s="11" t="n">
        <v>336</v>
      </c>
    </row>
    <row r="242" customFormat="false" ht="15" hidden="false" customHeight="false" outlineLevel="0" collapsed="false">
      <c r="A242" s="10" t="n">
        <v>50.4993710517883</v>
      </c>
      <c r="B242" s="11" t="n">
        <v>0</v>
      </c>
      <c r="C242" s="12" t="n">
        <f aca="false">B242*'Correction factors'!$B$7</f>
        <v>0</v>
      </c>
      <c r="D242" s="13" t="n">
        <v>6.038478</v>
      </c>
      <c r="E242" s="14" t="n">
        <v>32</v>
      </c>
      <c r="F242" s="10" t="n">
        <f aca="false">E242/'Correction factors'!$B$10</f>
        <v>2.5808</v>
      </c>
      <c r="G242" s="11" t="n">
        <v>344</v>
      </c>
    </row>
    <row r="243" customFormat="false" ht="15" hidden="false" customHeight="false" outlineLevel="0" collapsed="false">
      <c r="A243" s="10" t="n">
        <v>50.9283902645111</v>
      </c>
      <c r="B243" s="11" t="n">
        <v>0</v>
      </c>
      <c r="C243" s="12" t="n">
        <f aca="false">B243*'Correction factors'!$B$7</f>
        <v>0</v>
      </c>
      <c r="D243" s="13" t="n">
        <v>5.98937</v>
      </c>
      <c r="E243" s="14" t="n">
        <v>40</v>
      </c>
      <c r="F243" s="10" t="n">
        <f aca="false">E243/'Correction factors'!$B$10</f>
        <v>3.226</v>
      </c>
      <c r="G243" s="11" t="n">
        <v>356</v>
      </c>
    </row>
    <row r="244" customFormat="false" ht="15" hidden="false" customHeight="false" outlineLevel="0" collapsed="false">
      <c r="A244" s="10" t="n">
        <v>50.9283902645111</v>
      </c>
      <c r="B244" s="11" t="n">
        <v>0</v>
      </c>
      <c r="C244" s="12" t="n">
        <f aca="false">B244*'Correction factors'!$B$7</f>
        <v>0</v>
      </c>
      <c r="D244" s="13" t="n">
        <v>5.92062</v>
      </c>
      <c r="E244" s="14" t="n">
        <v>64</v>
      </c>
      <c r="F244" s="10" t="n">
        <f aca="false">E244/'Correction factors'!$B$10</f>
        <v>5.1616</v>
      </c>
      <c r="G244" s="11" t="n">
        <v>358</v>
      </c>
    </row>
    <row r="245" customFormat="false" ht="15" hidden="false" customHeight="false" outlineLevel="0" collapsed="false">
      <c r="A245" s="10" t="n">
        <v>51.3615462779999</v>
      </c>
      <c r="B245" s="11" t="n">
        <v>0</v>
      </c>
      <c r="C245" s="12" t="n">
        <f aca="false">B245*'Correction factors'!$B$7</f>
        <v>0</v>
      </c>
      <c r="D245" s="13" t="n">
        <v>5.842046</v>
      </c>
      <c r="E245" s="14" t="n">
        <v>72</v>
      </c>
      <c r="F245" s="10" t="n">
        <f aca="false">E245/'Correction factors'!$B$10</f>
        <v>5.8068</v>
      </c>
      <c r="G245" s="11" t="n">
        <v>367</v>
      </c>
    </row>
    <row r="246" customFormat="false" ht="15" hidden="false" customHeight="false" outlineLevel="0" collapsed="false">
      <c r="A246" s="10" t="n">
        <v>51.3615462779999</v>
      </c>
      <c r="B246" s="11" t="n">
        <v>0</v>
      </c>
      <c r="C246" s="12" t="n">
        <f aca="false">B246*'Correction factors'!$B$7</f>
        <v>0</v>
      </c>
      <c r="D246" s="13" t="n">
        <v>5.724187</v>
      </c>
      <c r="E246" s="14" t="n">
        <v>112</v>
      </c>
      <c r="F246" s="10" t="n">
        <f aca="false">E246/'Correction factors'!$B$10</f>
        <v>9.0328</v>
      </c>
      <c r="G246" s="11" t="n">
        <v>370</v>
      </c>
    </row>
    <row r="247" customFormat="false" ht="15" hidden="false" customHeight="false" outlineLevel="0" collapsed="false">
      <c r="A247" s="10" t="n">
        <v>51.8006365299225</v>
      </c>
      <c r="B247" s="11" t="n">
        <v>20</v>
      </c>
      <c r="C247" s="12" t="n">
        <f aca="false">B247*'Correction factors'!$B$7</f>
        <v>96.78</v>
      </c>
      <c r="D247" s="13" t="n">
        <v>5.596507</v>
      </c>
      <c r="E247" s="14" t="n">
        <v>128</v>
      </c>
      <c r="F247" s="10" t="n">
        <f aca="false">E247/'Correction factors'!$B$10</f>
        <v>10.3232</v>
      </c>
      <c r="G247" s="11" t="n">
        <v>380</v>
      </c>
    </row>
    <row r="248" customFormat="false" ht="15" hidden="false" customHeight="false" outlineLevel="0" collapsed="false">
      <c r="A248" s="10" t="n">
        <v>51.8006365299225</v>
      </c>
      <c r="B248" s="11" t="n">
        <v>280</v>
      </c>
      <c r="C248" s="12" t="n">
        <f aca="false">B248*'Correction factors'!$B$7</f>
        <v>1354.92</v>
      </c>
      <c r="D248" s="13" t="n">
        <v>5.449183</v>
      </c>
      <c r="E248" s="14" t="n">
        <v>176</v>
      </c>
      <c r="F248" s="10" t="n">
        <f aca="false">E248/'Correction factors'!$B$10</f>
        <v>14.1944</v>
      </c>
      <c r="G248" s="11" t="n">
        <v>379</v>
      </c>
    </row>
    <row r="249" customFormat="false" ht="15" hidden="false" customHeight="false" outlineLevel="0" collapsed="false">
      <c r="A249" s="10" t="n">
        <v>52.2838358879089</v>
      </c>
      <c r="B249" s="11" t="n">
        <v>460</v>
      </c>
      <c r="C249" s="12" t="n">
        <f aca="false">B249*'Correction factors'!$B$7</f>
        <v>2225.94</v>
      </c>
      <c r="D249" s="13" t="n">
        <v>5.331323</v>
      </c>
      <c r="E249" s="14" t="n">
        <v>200</v>
      </c>
      <c r="F249" s="10" t="n">
        <f aca="false">E249/'Correction factors'!$B$10</f>
        <v>16.13</v>
      </c>
      <c r="G249" s="11" t="n">
        <v>286</v>
      </c>
    </row>
    <row r="250" customFormat="false" ht="15" hidden="false" customHeight="false" outlineLevel="0" collapsed="false">
      <c r="A250" s="10" t="n">
        <v>52.2838358879089</v>
      </c>
      <c r="B250" s="11" t="n">
        <v>160</v>
      </c>
      <c r="C250" s="12" t="n">
        <f aca="false">B250*'Correction factors'!$B$7</f>
        <v>774.24</v>
      </c>
      <c r="D250" s="13" t="n">
        <v>5.527756</v>
      </c>
      <c r="E250" s="14" t="n">
        <v>96</v>
      </c>
      <c r="F250" s="10" t="n">
        <f aca="false">E250/'Correction factors'!$B$10</f>
        <v>7.7424</v>
      </c>
      <c r="G250" s="11" t="n">
        <v>270</v>
      </c>
    </row>
    <row r="251" customFormat="false" ht="15" hidden="false" customHeight="false" outlineLevel="0" collapsed="false">
      <c r="A251" s="10" t="n">
        <v>52.2838358879089</v>
      </c>
      <c r="B251" s="11" t="n">
        <v>0</v>
      </c>
      <c r="C251" s="12" t="n">
        <f aca="false">B251*'Correction factors'!$B$7</f>
        <v>0</v>
      </c>
      <c r="D251" s="13" t="n">
        <v>5.675079</v>
      </c>
      <c r="E251" s="14" t="n">
        <v>8</v>
      </c>
      <c r="F251" s="10" t="n">
        <f aca="false">E251/'Correction factors'!$B$10</f>
        <v>0.6452</v>
      </c>
      <c r="G251" s="11" t="n">
        <v>277</v>
      </c>
    </row>
    <row r="252" customFormat="false" ht="15" hidden="false" customHeight="false" outlineLevel="0" collapsed="false">
      <c r="A252" s="10" t="n">
        <v>52.7529566287994</v>
      </c>
      <c r="B252" s="11" t="n">
        <v>0</v>
      </c>
      <c r="C252" s="12" t="n">
        <f aca="false">B252*'Correction factors'!$B$7</f>
        <v>0</v>
      </c>
      <c r="D252" s="13" t="n">
        <v>5.675079</v>
      </c>
      <c r="E252" s="14" t="n">
        <v>8</v>
      </c>
      <c r="F252" s="10" t="n">
        <f aca="false">E252/'Correction factors'!$B$10</f>
        <v>0.6452</v>
      </c>
      <c r="G252" s="11" t="n">
        <v>354</v>
      </c>
    </row>
    <row r="253" customFormat="false" ht="15" hidden="false" customHeight="false" outlineLevel="0" collapsed="false">
      <c r="A253" s="10" t="n">
        <v>52.7529566287994</v>
      </c>
      <c r="B253" s="11" t="n">
        <v>180</v>
      </c>
      <c r="C253" s="12" t="n">
        <f aca="false">B253*'Correction factors'!$B$7</f>
        <v>871.02</v>
      </c>
      <c r="D253" s="13" t="n">
        <v>5.586685</v>
      </c>
      <c r="E253" s="14" t="n">
        <v>80</v>
      </c>
      <c r="F253" s="10" t="n">
        <f aca="false">E253/'Correction factors'!$B$10</f>
        <v>6.452</v>
      </c>
      <c r="G253" s="11" t="n">
        <v>356</v>
      </c>
    </row>
    <row r="254" customFormat="false" ht="15" hidden="false" customHeight="false" outlineLevel="0" collapsed="false">
      <c r="A254" s="10" t="n">
        <v>53.1844527721405</v>
      </c>
      <c r="B254" s="11" t="n">
        <v>240</v>
      </c>
      <c r="C254" s="12" t="n">
        <f aca="false">B254*'Correction factors'!$B$7</f>
        <v>1161.36</v>
      </c>
      <c r="D254" s="13" t="n">
        <v>5.635793</v>
      </c>
      <c r="E254" s="14" t="n">
        <v>104</v>
      </c>
      <c r="F254" s="10" t="n">
        <f aca="false">E254/'Correction factors'!$B$10</f>
        <v>8.3876</v>
      </c>
      <c r="G254" s="11" t="n">
        <v>299</v>
      </c>
    </row>
    <row r="255" customFormat="false" ht="15" hidden="false" customHeight="false" outlineLevel="0" collapsed="false">
      <c r="A255" s="10" t="n">
        <v>53.1844527721405</v>
      </c>
      <c r="B255" s="11" t="n">
        <v>20</v>
      </c>
      <c r="C255" s="12" t="n">
        <f aca="false">B255*'Correction factors'!$B$7</f>
        <v>96.78</v>
      </c>
      <c r="D255" s="13" t="n">
        <v>5.753652</v>
      </c>
      <c r="E255" s="14" t="n">
        <v>32</v>
      </c>
      <c r="F255" s="10" t="n">
        <f aca="false">E255/'Correction factors'!$B$10</f>
        <v>2.5808</v>
      </c>
      <c r="G255" s="11" t="n">
        <v>292</v>
      </c>
    </row>
    <row r="256" customFormat="false" ht="15" hidden="false" customHeight="false" outlineLevel="0" collapsed="false">
      <c r="A256" s="10" t="n">
        <v>53.6139137744904</v>
      </c>
      <c r="B256" s="11" t="n">
        <v>0</v>
      </c>
      <c r="C256" s="12" t="n">
        <f aca="false">B256*'Correction factors'!$B$7</f>
        <v>0</v>
      </c>
      <c r="D256" s="13" t="n">
        <v>5.822403</v>
      </c>
      <c r="E256" s="14" t="n">
        <v>8</v>
      </c>
      <c r="F256" s="10" t="n">
        <f aca="false">E256/'Correction factors'!$B$10</f>
        <v>0.6452</v>
      </c>
      <c r="G256" s="11" t="n">
        <v>343</v>
      </c>
    </row>
    <row r="257" customFormat="false" ht="15" hidden="false" customHeight="false" outlineLevel="0" collapsed="false">
      <c r="A257" s="10" t="n">
        <v>53.6139137744904</v>
      </c>
      <c r="B257" s="11" t="n">
        <v>160</v>
      </c>
      <c r="C257" s="12" t="n">
        <f aca="false">B257*'Correction factors'!$B$7</f>
        <v>774.24</v>
      </c>
      <c r="D257" s="13" t="n">
        <v>5.792939</v>
      </c>
      <c r="E257" s="14" t="n">
        <v>40</v>
      </c>
      <c r="F257" s="10" t="n">
        <f aca="false">E257/'Correction factors'!$B$10</f>
        <v>3.226</v>
      </c>
      <c r="G257" s="11" t="n">
        <v>349</v>
      </c>
    </row>
    <row r="258" customFormat="false" ht="15" hidden="false" customHeight="false" outlineLevel="0" collapsed="false">
      <c r="A258" s="10" t="n">
        <v>54.0461041927338</v>
      </c>
      <c r="B258" s="11" t="n">
        <v>160</v>
      </c>
      <c r="C258" s="12" t="n">
        <f aca="false">B258*'Correction factors'!$B$7</f>
        <v>774.24</v>
      </c>
      <c r="D258" s="13" t="n">
        <v>5.792939</v>
      </c>
      <c r="E258" s="14" t="n">
        <v>56</v>
      </c>
      <c r="F258" s="10" t="n">
        <f aca="false">E258/'Correction factors'!$B$10</f>
        <v>4.5164</v>
      </c>
      <c r="G258" s="11" t="n">
        <v>303</v>
      </c>
    </row>
    <row r="259" customFormat="false" ht="15" hidden="false" customHeight="false" outlineLevel="0" collapsed="false">
      <c r="A259" s="10" t="n">
        <v>54.0461041927338</v>
      </c>
      <c r="B259" s="11" t="n">
        <v>20</v>
      </c>
      <c r="C259" s="12" t="n">
        <f aca="false">B259*'Correction factors'!$B$7</f>
        <v>96.78</v>
      </c>
      <c r="D259" s="13" t="n">
        <v>5.881333</v>
      </c>
      <c r="E259" s="14" t="n">
        <v>24</v>
      </c>
      <c r="F259" s="10" t="n">
        <f aca="false">E259/'Correction factors'!$B$10</f>
        <v>1.9356</v>
      </c>
      <c r="G259" s="11" t="n">
        <v>305</v>
      </c>
    </row>
    <row r="260" customFormat="false" ht="15" hidden="false" customHeight="false" outlineLevel="0" collapsed="false">
      <c r="A260" s="10" t="n">
        <v>54.4837081432343</v>
      </c>
      <c r="B260" s="11" t="n">
        <v>0</v>
      </c>
      <c r="C260" s="12" t="n">
        <f aca="false">B260*'Correction factors'!$B$7</f>
        <v>0</v>
      </c>
      <c r="D260" s="13" t="n">
        <v>5.950084</v>
      </c>
      <c r="E260" s="14" t="n">
        <v>0</v>
      </c>
      <c r="F260" s="10" t="n">
        <f aca="false">E260/'Correction factors'!$B$10</f>
        <v>0</v>
      </c>
      <c r="G260" s="11" t="n">
        <v>349</v>
      </c>
    </row>
    <row r="261" customFormat="false" ht="15" hidden="false" customHeight="false" outlineLevel="0" collapsed="false">
      <c r="A261" s="10" t="n">
        <v>54.4837081432343</v>
      </c>
      <c r="B261" s="11" t="n">
        <v>60</v>
      </c>
      <c r="C261" s="12" t="n">
        <f aca="false">B261*'Correction factors'!$B$7</f>
        <v>290.34</v>
      </c>
      <c r="D261" s="13" t="n">
        <v>5.86169</v>
      </c>
      <c r="E261" s="14" t="n">
        <v>40</v>
      </c>
      <c r="F261" s="10" t="n">
        <f aca="false">E261/'Correction factors'!$B$10</f>
        <v>3.226</v>
      </c>
      <c r="G261" s="11" t="n">
        <v>352</v>
      </c>
    </row>
    <row r="262" customFormat="false" ht="15" hidden="false" customHeight="false" outlineLevel="0" collapsed="false">
      <c r="A262" s="10" t="n">
        <v>54.9189324378967</v>
      </c>
      <c r="B262" s="11" t="n">
        <v>180</v>
      </c>
      <c r="C262" s="12" t="n">
        <f aca="false">B262*'Correction factors'!$B$7</f>
        <v>871.02</v>
      </c>
      <c r="D262" s="13" t="n">
        <v>5.80276</v>
      </c>
      <c r="E262" s="14" t="n">
        <v>72</v>
      </c>
      <c r="F262" s="10" t="n">
        <f aca="false">E262/'Correction factors'!$B$10</f>
        <v>5.8068</v>
      </c>
      <c r="G262" s="11" t="n">
        <v>341</v>
      </c>
    </row>
    <row r="263" customFormat="false" ht="15" hidden="false" customHeight="false" outlineLevel="0" collapsed="false">
      <c r="A263" s="10" t="n">
        <v>54.9189324378967</v>
      </c>
      <c r="B263" s="11" t="n">
        <v>220</v>
      </c>
      <c r="C263" s="12" t="n">
        <f aca="false">B263*'Correction factors'!$B$7</f>
        <v>1064.58</v>
      </c>
      <c r="D263" s="13" t="n">
        <v>5.753652</v>
      </c>
      <c r="E263" s="14" t="n">
        <v>80</v>
      </c>
      <c r="F263" s="10" t="n">
        <f aca="false">E263/'Correction factors'!$B$10</f>
        <v>6.452</v>
      </c>
      <c r="G263" s="11" t="n">
        <v>321</v>
      </c>
    </row>
    <row r="264" customFormat="false" ht="15" hidden="false" customHeight="false" outlineLevel="0" collapsed="false">
      <c r="A264" s="10" t="n">
        <v>55.3729314804077</v>
      </c>
      <c r="B264" s="11" t="n">
        <v>200</v>
      </c>
      <c r="C264" s="12" t="n">
        <f aca="false">B264*'Correction factors'!$B$7</f>
        <v>967.8</v>
      </c>
      <c r="D264" s="13" t="n">
        <v>5.734009</v>
      </c>
      <c r="E264" s="14" t="n">
        <v>72</v>
      </c>
      <c r="F264" s="10" t="n">
        <f aca="false">E264/'Correction factors'!$B$10</f>
        <v>5.8068</v>
      </c>
      <c r="G264" s="11" t="n">
        <v>283</v>
      </c>
    </row>
    <row r="265" customFormat="false" ht="15" hidden="false" customHeight="false" outlineLevel="0" collapsed="false">
      <c r="A265" s="10" t="n">
        <v>55.3729314804077</v>
      </c>
      <c r="B265" s="11" t="n">
        <v>40</v>
      </c>
      <c r="C265" s="12" t="n">
        <f aca="false">B265*'Correction factors'!$B$7</f>
        <v>193.56</v>
      </c>
      <c r="D265" s="13" t="n">
        <v>5.851868</v>
      </c>
      <c r="E265" s="14" t="n">
        <v>40</v>
      </c>
      <c r="F265" s="10" t="n">
        <f aca="false">E265/'Correction factors'!$B$10</f>
        <v>3.226</v>
      </c>
      <c r="G265" s="11" t="n">
        <v>286</v>
      </c>
    </row>
    <row r="266" customFormat="false" ht="15" hidden="false" customHeight="false" outlineLevel="0" collapsed="false">
      <c r="A266" s="10" t="n">
        <v>55.3729314804077</v>
      </c>
      <c r="B266" s="11" t="n">
        <v>0</v>
      </c>
      <c r="C266" s="12" t="n">
        <f aca="false">B266*'Correction factors'!$B$7</f>
        <v>0</v>
      </c>
      <c r="D266" s="13" t="n">
        <v>5.959905</v>
      </c>
      <c r="E266" s="14" t="n">
        <v>0</v>
      </c>
      <c r="F266" s="10" t="n">
        <f aca="false">E266/'Correction factors'!$B$10</f>
        <v>0</v>
      </c>
      <c r="G266" s="11" t="n">
        <v>305</v>
      </c>
    </row>
    <row r="267" customFormat="false" ht="15" hidden="false" customHeight="false" outlineLevel="0" collapsed="false">
      <c r="A267" s="10" t="n">
        <v>55.8519356250763</v>
      </c>
      <c r="B267" s="11" t="n">
        <v>60</v>
      </c>
      <c r="C267" s="12" t="n">
        <f aca="false">B267*'Correction factors'!$B$7</f>
        <v>290.34</v>
      </c>
      <c r="D267" s="13" t="n">
        <v>5.871511</v>
      </c>
      <c r="E267" s="14" t="n">
        <v>16</v>
      </c>
      <c r="F267" s="10" t="n">
        <f aca="false">E267/'Correction factors'!$B$10</f>
        <v>1.2904</v>
      </c>
      <c r="G267" s="11" t="n">
        <v>355</v>
      </c>
    </row>
    <row r="268" customFormat="false" ht="15" hidden="false" customHeight="false" outlineLevel="0" collapsed="false">
      <c r="A268" s="10" t="n">
        <v>55.8519356250763</v>
      </c>
      <c r="B268" s="11" t="n">
        <v>280</v>
      </c>
      <c r="C268" s="12" t="n">
        <f aca="false">B268*'Correction factors'!$B$7</f>
        <v>1354.92</v>
      </c>
      <c r="D268" s="13" t="n">
        <v>5.753652</v>
      </c>
      <c r="E268" s="14" t="n">
        <v>104</v>
      </c>
      <c r="F268" s="10" t="n">
        <f aca="false">E268/'Correction factors'!$B$10</f>
        <v>8.3876</v>
      </c>
      <c r="G268" s="11" t="n">
        <v>344</v>
      </c>
    </row>
    <row r="269" customFormat="false" ht="15" hidden="false" customHeight="false" outlineLevel="0" collapsed="false">
      <c r="A269" s="10" t="n">
        <v>56.3019280433655</v>
      </c>
      <c r="B269" s="11" t="n">
        <v>240</v>
      </c>
      <c r="C269" s="12" t="n">
        <f aca="false">B269*'Correction factors'!$B$7</f>
        <v>1161.36</v>
      </c>
      <c r="D269" s="13" t="n">
        <v>5.80276</v>
      </c>
      <c r="E269" s="14" t="n">
        <v>104</v>
      </c>
      <c r="F269" s="10" t="n">
        <f aca="false">E269/'Correction factors'!$B$10</f>
        <v>8.3876</v>
      </c>
      <c r="G269" s="11" t="n">
        <v>261</v>
      </c>
    </row>
    <row r="270" customFormat="false" ht="15" hidden="false" customHeight="false" outlineLevel="0" collapsed="false">
      <c r="A270" s="10" t="n">
        <v>56.3019280433655</v>
      </c>
      <c r="B270" s="11" t="n">
        <v>20</v>
      </c>
      <c r="C270" s="12" t="n">
        <f aca="false">B270*'Correction factors'!$B$7</f>
        <v>96.78</v>
      </c>
      <c r="D270" s="13" t="n">
        <v>5.930441</v>
      </c>
      <c r="E270" s="14" t="n">
        <v>24</v>
      </c>
      <c r="F270" s="10" t="n">
        <f aca="false">E270/'Correction factors'!$B$10</f>
        <v>1.9356</v>
      </c>
      <c r="G270" s="11" t="n">
        <v>263</v>
      </c>
    </row>
    <row r="271" customFormat="false" ht="15" hidden="false" customHeight="false" outlineLevel="0" collapsed="false">
      <c r="A271" s="10" t="n">
        <v>56.7829279899597</v>
      </c>
      <c r="B271" s="11" t="n">
        <v>0</v>
      </c>
      <c r="C271" s="12" t="n">
        <f aca="false">B271*'Correction factors'!$B$7</f>
        <v>0</v>
      </c>
      <c r="D271" s="13" t="n">
        <v>6.018835</v>
      </c>
      <c r="E271" s="14" t="n">
        <v>0</v>
      </c>
      <c r="F271" s="10" t="n">
        <f aca="false">E271/'Correction factors'!$B$10</f>
        <v>0</v>
      </c>
      <c r="G271" s="11" t="n">
        <v>336</v>
      </c>
    </row>
    <row r="272" customFormat="false" ht="15" hidden="false" customHeight="false" outlineLevel="0" collapsed="false">
      <c r="A272" s="10" t="n">
        <v>56.7829279899597</v>
      </c>
      <c r="B272" s="11" t="n">
        <v>0</v>
      </c>
      <c r="C272" s="12" t="n">
        <f aca="false">B272*'Correction factors'!$B$7</f>
        <v>0</v>
      </c>
      <c r="D272" s="13" t="n">
        <v>5.98937</v>
      </c>
      <c r="E272" s="14" t="n">
        <v>16</v>
      </c>
      <c r="F272" s="10" t="n">
        <f aca="false">E272/'Correction factors'!$B$10</f>
        <v>1.2904</v>
      </c>
      <c r="G272" s="11" t="n">
        <v>343</v>
      </c>
    </row>
    <row r="273" customFormat="false" ht="15" hidden="false" customHeight="false" outlineLevel="0" collapsed="false">
      <c r="A273" s="10" t="n">
        <v>57.2191123962402</v>
      </c>
      <c r="B273" s="11" t="n">
        <v>0</v>
      </c>
      <c r="C273" s="12" t="n">
        <f aca="false">B273*'Correction factors'!$B$7</f>
        <v>0</v>
      </c>
      <c r="D273" s="13" t="n">
        <v>5.959905</v>
      </c>
      <c r="E273" s="14" t="n">
        <v>40</v>
      </c>
      <c r="F273" s="10" t="n">
        <f aca="false">E273/'Correction factors'!$B$10</f>
        <v>3.226</v>
      </c>
      <c r="G273" s="11" t="n">
        <v>356</v>
      </c>
    </row>
    <row r="274" customFormat="false" ht="15" hidden="false" customHeight="false" outlineLevel="0" collapsed="false">
      <c r="A274" s="10" t="n">
        <v>57.2191123962402</v>
      </c>
      <c r="B274" s="11" t="n">
        <v>0</v>
      </c>
      <c r="C274" s="12" t="n">
        <f aca="false">B274*'Correction factors'!$B$7</f>
        <v>0</v>
      </c>
      <c r="D274" s="13" t="n">
        <v>5.881333</v>
      </c>
      <c r="E274" s="14" t="n">
        <v>56</v>
      </c>
      <c r="F274" s="10" t="n">
        <f aca="false">E274/'Correction factors'!$B$10</f>
        <v>4.5164</v>
      </c>
      <c r="G274" s="11" t="n">
        <v>357</v>
      </c>
    </row>
    <row r="275" customFormat="false" ht="15" hidden="false" customHeight="false" outlineLevel="0" collapsed="false">
      <c r="A275" s="10" t="n">
        <v>57.2191123962402</v>
      </c>
      <c r="B275" s="11" t="n">
        <v>0</v>
      </c>
      <c r="C275" s="12" t="n">
        <f aca="false">B275*'Correction factors'!$B$7</f>
        <v>0</v>
      </c>
      <c r="D275" s="13" t="n">
        <v>5.832225</v>
      </c>
      <c r="E275" s="14" t="n">
        <v>64</v>
      </c>
      <c r="F275" s="10" t="n">
        <f aca="false">E275/'Correction factors'!$B$10</f>
        <v>5.1616</v>
      </c>
      <c r="G275" s="11" t="n">
        <v>365</v>
      </c>
    </row>
    <row r="276" customFormat="false" ht="15" hidden="false" customHeight="false" outlineLevel="0" collapsed="false">
      <c r="A276" s="10" t="n">
        <v>57.7046232223511</v>
      </c>
      <c r="B276" s="11" t="n">
        <v>20</v>
      </c>
      <c r="C276" s="12" t="n">
        <f aca="false">B276*'Correction factors'!$B$7</f>
        <v>96.78</v>
      </c>
      <c r="D276" s="13" t="n">
        <v>5.665258</v>
      </c>
      <c r="E276" s="14" t="n">
        <v>104</v>
      </c>
      <c r="F276" s="10" t="n">
        <f aca="false">E276/'Correction factors'!$B$10</f>
        <v>8.3876</v>
      </c>
      <c r="G276" s="11" t="n">
        <v>373</v>
      </c>
    </row>
    <row r="277" customFormat="false" ht="15" hidden="false" customHeight="false" outlineLevel="0" collapsed="false">
      <c r="A277" s="10" t="n">
        <v>57.7046232223511</v>
      </c>
      <c r="B277" s="11" t="n">
        <v>320</v>
      </c>
      <c r="C277" s="12" t="n">
        <f aca="false">B277*'Correction factors'!$B$7</f>
        <v>1548.48</v>
      </c>
      <c r="D277" s="13" t="n">
        <v>5.547399</v>
      </c>
      <c r="E277" s="14" t="n">
        <v>144</v>
      </c>
      <c r="F277" s="10" t="n">
        <f aca="false">E277/'Correction factors'!$B$10</f>
        <v>11.6136</v>
      </c>
      <c r="G277" s="11" t="n">
        <v>371</v>
      </c>
    </row>
    <row r="278" customFormat="false" ht="15" hidden="false" customHeight="false" outlineLevel="0" collapsed="false">
      <c r="A278" s="10" t="n">
        <v>58.1443393230438</v>
      </c>
      <c r="B278" s="11" t="n">
        <v>320</v>
      </c>
      <c r="C278" s="12" t="n">
        <f aca="false">B278*'Correction factors'!$B$7</f>
        <v>1548.48</v>
      </c>
      <c r="D278" s="13" t="n">
        <v>5.586685</v>
      </c>
      <c r="E278" s="14" t="n">
        <v>144</v>
      </c>
      <c r="F278" s="10" t="n">
        <f aca="false">E278/'Correction factors'!$B$10</f>
        <v>11.6136</v>
      </c>
      <c r="G278" s="11" t="n">
        <v>268</v>
      </c>
    </row>
    <row r="279" customFormat="false" ht="15" hidden="false" customHeight="false" outlineLevel="0" collapsed="false">
      <c r="A279" s="10" t="n">
        <v>58.1443393230438</v>
      </c>
      <c r="B279" s="11" t="n">
        <v>20</v>
      </c>
      <c r="C279" s="12" t="n">
        <f aca="false">B279*'Correction factors'!$B$7</f>
        <v>96.78</v>
      </c>
      <c r="D279" s="13" t="n">
        <v>5.734009</v>
      </c>
      <c r="E279" s="14" t="n">
        <v>48</v>
      </c>
      <c r="F279" s="10" t="n">
        <f aca="false">E279/'Correction factors'!$B$10</f>
        <v>3.8712</v>
      </c>
      <c r="G279" s="11" t="n">
        <v>264</v>
      </c>
    </row>
    <row r="280" customFormat="false" ht="15" hidden="false" customHeight="false" outlineLevel="0" collapsed="false">
      <c r="A280" s="10" t="n">
        <v>58.5733094215393</v>
      </c>
      <c r="B280" s="11" t="n">
        <v>0</v>
      </c>
      <c r="C280" s="12" t="n">
        <f aca="false">B280*'Correction factors'!$B$7</f>
        <v>0</v>
      </c>
      <c r="D280" s="13" t="n">
        <v>5.822403</v>
      </c>
      <c r="E280" s="14" t="n">
        <v>8</v>
      </c>
      <c r="F280" s="10" t="n">
        <f aca="false">E280/'Correction factors'!$B$10</f>
        <v>0.6452</v>
      </c>
      <c r="G280" s="11" t="n">
        <v>351</v>
      </c>
    </row>
    <row r="281" customFormat="false" ht="15" hidden="false" customHeight="false" outlineLevel="0" collapsed="false">
      <c r="A281" s="10" t="n">
        <v>58.5733094215393</v>
      </c>
      <c r="B281" s="11" t="n">
        <v>160</v>
      </c>
      <c r="C281" s="12" t="n">
        <f aca="false">B281*'Correction factors'!$B$7</f>
        <v>774.24</v>
      </c>
      <c r="D281" s="13" t="n">
        <v>5.714366</v>
      </c>
      <c r="E281" s="14" t="n">
        <v>48</v>
      </c>
      <c r="F281" s="10" t="n">
        <f aca="false">E281/'Correction factors'!$B$10</f>
        <v>3.8712</v>
      </c>
      <c r="G281" s="11" t="n">
        <v>355</v>
      </c>
    </row>
    <row r="282" customFormat="false" ht="15" hidden="false" customHeight="false" outlineLevel="0" collapsed="false">
      <c r="A282" s="10" t="n">
        <v>59.0495626926422</v>
      </c>
      <c r="B282" s="11" t="n">
        <v>240</v>
      </c>
      <c r="C282" s="12" t="n">
        <f aca="false">B282*'Correction factors'!$B$7</f>
        <v>1161.36</v>
      </c>
      <c r="D282" s="13" t="n">
        <v>5.694722</v>
      </c>
      <c r="E282" s="14" t="n">
        <v>96</v>
      </c>
      <c r="F282" s="10" t="n">
        <f aca="false">E282/'Correction factors'!$B$10</f>
        <v>7.7424</v>
      </c>
      <c r="G282" s="11" t="n">
        <v>308</v>
      </c>
    </row>
    <row r="283" customFormat="false" ht="15" hidden="false" customHeight="false" outlineLevel="0" collapsed="false">
      <c r="A283" s="10" t="n">
        <v>59.0495626926422</v>
      </c>
      <c r="B283" s="11" t="n">
        <v>40</v>
      </c>
      <c r="C283" s="12" t="n">
        <f aca="false">B283*'Correction factors'!$B$7</f>
        <v>193.56</v>
      </c>
      <c r="D283" s="13" t="n">
        <v>5.80276</v>
      </c>
      <c r="E283" s="14" t="n">
        <v>32</v>
      </c>
      <c r="F283" s="10" t="n">
        <f aca="false">E283/'Correction factors'!$B$10</f>
        <v>2.5808</v>
      </c>
      <c r="G283" s="11" t="n">
        <v>296</v>
      </c>
    </row>
    <row r="284" customFormat="false" ht="15" hidden="false" customHeight="false" outlineLevel="0" collapsed="false">
      <c r="A284" s="10" t="n">
        <v>59.5165619850159</v>
      </c>
      <c r="B284" s="11" t="n">
        <v>0</v>
      </c>
      <c r="C284" s="12" t="n">
        <f aca="false">B284*'Correction factors'!$B$7</f>
        <v>0</v>
      </c>
      <c r="D284" s="13" t="n">
        <v>5.871511</v>
      </c>
      <c r="E284" s="14" t="n">
        <v>8</v>
      </c>
      <c r="F284" s="10" t="n">
        <f aca="false">E284/'Correction factors'!$B$10</f>
        <v>0.6452</v>
      </c>
      <c r="G284" s="11" t="n">
        <v>341</v>
      </c>
    </row>
    <row r="285" customFormat="false" ht="15" hidden="false" customHeight="false" outlineLevel="0" collapsed="false">
      <c r="A285" s="10" t="n">
        <v>59.5165619850159</v>
      </c>
      <c r="B285" s="11" t="n">
        <v>0</v>
      </c>
      <c r="C285" s="12" t="n">
        <f aca="false">B285*'Correction factors'!$B$7</f>
        <v>0</v>
      </c>
      <c r="D285" s="13" t="n">
        <v>5.86169</v>
      </c>
      <c r="E285" s="14" t="n">
        <v>16</v>
      </c>
      <c r="F285" s="10" t="n">
        <f aca="false">E285/'Correction factors'!$B$10</f>
        <v>1.2904</v>
      </c>
      <c r="G285" s="11" t="n">
        <v>351</v>
      </c>
    </row>
    <row r="286" customFormat="false" ht="15" hidden="false" customHeight="false" outlineLevel="0" collapsed="false">
      <c r="A286" s="10" t="n">
        <v>59.5165619850159</v>
      </c>
      <c r="B286" s="11" t="n">
        <v>0</v>
      </c>
      <c r="C286" s="12" t="n">
        <f aca="false">B286*'Correction factors'!$B$7</f>
        <v>0</v>
      </c>
      <c r="D286" s="13" t="n">
        <v>5.842046</v>
      </c>
      <c r="E286" s="14" t="n">
        <v>40</v>
      </c>
      <c r="F286" s="10" t="n">
        <f aca="false">E286/'Correction factors'!$B$10</f>
        <v>3.226</v>
      </c>
      <c r="G286" s="11" t="n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5"/>
    <col collapsed="false" customWidth="true" hidden="false" outlineLevel="0" max="6" min="5" style="0" width="20"/>
    <col collapsed="false" customWidth="true" hidden="false" outlineLevel="0" max="7" min="7" style="0" width="15"/>
  </cols>
  <sheetData>
    <row r="1" customFormat="false" ht="30" hidden="false" customHeight="tru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</row>
    <row r="2" customFormat="false" ht="15" hidden="false" customHeight="false" outlineLevel="0" collapsed="false">
      <c r="A2" s="10" t="n">
        <v>1.41025590896606</v>
      </c>
      <c r="B2" s="11" t="n">
        <v>0</v>
      </c>
      <c r="C2" s="12" t="n">
        <f aca="false">B2*'Correction factors'!$B$7</f>
        <v>0</v>
      </c>
      <c r="D2" s="13" t="n">
        <v>9.947474</v>
      </c>
      <c r="E2" s="14" t="n">
        <v>0</v>
      </c>
      <c r="F2" s="10" t="n">
        <f aca="false">E2/'Correction factors'!$B$10</f>
        <v>0</v>
      </c>
      <c r="G2" s="11" t="n">
        <v>507</v>
      </c>
    </row>
    <row r="3" customFormat="false" ht="15" hidden="false" customHeight="false" outlineLevel="0" collapsed="false">
      <c r="A3" s="10" t="n">
        <v>1.89634990692139</v>
      </c>
      <c r="B3" s="11" t="n">
        <v>0</v>
      </c>
      <c r="C3" s="12" t="n">
        <f aca="false">B3*'Correction factors'!$B$7</f>
        <v>0</v>
      </c>
      <c r="D3" s="13" t="n">
        <v>9.957294</v>
      </c>
      <c r="E3" s="14" t="n">
        <v>0</v>
      </c>
      <c r="F3" s="10" t="n">
        <f aca="false">E3/'Correction factors'!$B$10</f>
        <v>0</v>
      </c>
      <c r="G3" s="11" t="n">
        <v>237</v>
      </c>
    </row>
    <row r="4" customFormat="false" ht="15" hidden="false" customHeight="false" outlineLevel="0" collapsed="false">
      <c r="A4" s="10" t="n">
        <v>1.89634990692139</v>
      </c>
      <c r="B4" s="11" t="n">
        <v>0</v>
      </c>
      <c r="C4" s="12" t="n">
        <f aca="false">B4*'Correction factors'!$B$7</f>
        <v>0</v>
      </c>
      <c r="D4" s="13" t="n">
        <v>9.957294</v>
      </c>
      <c r="E4" s="14" t="n">
        <v>0</v>
      </c>
      <c r="F4" s="10" t="n">
        <f aca="false">E4/'Correction factors'!$B$10</f>
        <v>0</v>
      </c>
      <c r="G4" s="11" t="n">
        <v>239</v>
      </c>
    </row>
    <row r="5" customFormat="false" ht="15" hidden="false" customHeight="false" outlineLevel="0" collapsed="false">
      <c r="A5" s="10" t="n">
        <v>1.89634990692139</v>
      </c>
      <c r="B5" s="11" t="n">
        <v>0</v>
      </c>
      <c r="C5" s="12" t="n">
        <f aca="false">B5*'Correction factors'!$B$7</f>
        <v>0</v>
      </c>
      <c r="D5" s="13" t="n">
        <v>9.937652</v>
      </c>
      <c r="E5" s="14" t="n">
        <v>0</v>
      </c>
      <c r="F5" s="10" t="n">
        <f aca="false">E5/'Correction factors'!$B$10</f>
        <v>0</v>
      </c>
      <c r="G5" s="11" t="n">
        <v>249</v>
      </c>
    </row>
    <row r="6" customFormat="false" ht="15" hidden="false" customHeight="false" outlineLevel="0" collapsed="false">
      <c r="A6" s="10" t="n">
        <v>2.48620200157166</v>
      </c>
      <c r="B6" s="11" t="n">
        <v>0</v>
      </c>
      <c r="C6" s="12" t="n">
        <f aca="false">B6*'Correction factors'!$B$7</f>
        <v>0</v>
      </c>
      <c r="D6" s="13" t="n">
        <v>9.947474</v>
      </c>
      <c r="E6" s="14" t="n">
        <v>0</v>
      </c>
      <c r="F6" s="10" t="n">
        <f aca="false">E6/'Correction factors'!$B$10</f>
        <v>0</v>
      </c>
      <c r="G6" s="11" t="n">
        <v>253</v>
      </c>
    </row>
    <row r="7" customFormat="false" ht="15" hidden="false" customHeight="false" outlineLevel="0" collapsed="false">
      <c r="A7" s="10" t="n">
        <v>2.48620200157166</v>
      </c>
      <c r="B7" s="11" t="n">
        <v>0</v>
      </c>
      <c r="C7" s="12" t="n">
        <f aca="false">B7*'Correction factors'!$B$7</f>
        <v>0</v>
      </c>
      <c r="D7" s="13" t="n">
        <v>9.947474</v>
      </c>
      <c r="E7" s="14" t="n">
        <v>0</v>
      </c>
      <c r="F7" s="10" t="n">
        <f aca="false">E7/'Correction factors'!$B$10</f>
        <v>0</v>
      </c>
      <c r="G7" s="11" t="n">
        <v>255</v>
      </c>
    </row>
    <row r="8" customFormat="false" ht="15" hidden="false" customHeight="false" outlineLevel="0" collapsed="false">
      <c r="A8" s="10" t="n">
        <v>2.93076801300049</v>
      </c>
      <c r="B8" s="11" t="n">
        <v>0</v>
      </c>
      <c r="C8" s="12" t="n">
        <f aca="false">B8*'Correction factors'!$B$7</f>
        <v>0</v>
      </c>
      <c r="D8" s="13" t="n">
        <v>9.937652</v>
      </c>
      <c r="E8" s="14" t="n">
        <v>0</v>
      </c>
      <c r="F8" s="10" t="n">
        <f aca="false">E8/'Correction factors'!$B$10</f>
        <v>0</v>
      </c>
      <c r="G8" s="11" t="n">
        <v>266</v>
      </c>
    </row>
    <row r="9" customFormat="false" ht="15" hidden="false" customHeight="false" outlineLevel="0" collapsed="false">
      <c r="A9" s="10" t="n">
        <v>2.93076801300049</v>
      </c>
      <c r="B9" s="11" t="n">
        <v>0</v>
      </c>
      <c r="C9" s="12" t="n">
        <f aca="false">B9*'Correction factors'!$B$7</f>
        <v>0</v>
      </c>
      <c r="D9" s="13" t="n">
        <v>9.947474</v>
      </c>
      <c r="E9" s="14" t="n">
        <v>0</v>
      </c>
      <c r="F9" s="10" t="n">
        <f aca="false">E9/'Correction factors'!$B$10</f>
        <v>0</v>
      </c>
      <c r="G9" s="11" t="n">
        <v>268</v>
      </c>
    </row>
    <row r="10" customFormat="false" ht="15" hidden="false" customHeight="false" outlineLevel="0" collapsed="false">
      <c r="A10" s="10" t="n">
        <v>2.93076801300049</v>
      </c>
      <c r="B10" s="11" t="n">
        <v>0</v>
      </c>
      <c r="C10" s="12" t="n">
        <f aca="false">B10*'Correction factors'!$B$7</f>
        <v>0</v>
      </c>
      <c r="D10" s="13" t="n">
        <v>9.937652</v>
      </c>
      <c r="E10" s="14" t="n">
        <v>0</v>
      </c>
      <c r="F10" s="10" t="n">
        <f aca="false">E10/'Correction factors'!$B$10</f>
        <v>0</v>
      </c>
      <c r="G10" s="11" t="n">
        <v>277</v>
      </c>
    </row>
    <row r="11" customFormat="false" ht="15" hidden="false" customHeight="false" outlineLevel="0" collapsed="false">
      <c r="A11" s="10" t="n">
        <v>3.44943881034851</v>
      </c>
      <c r="B11" s="11" t="n">
        <v>0</v>
      </c>
      <c r="C11" s="12" t="n">
        <f aca="false">B11*'Correction factors'!$B$7</f>
        <v>0</v>
      </c>
      <c r="D11" s="13" t="n">
        <v>9.927831</v>
      </c>
      <c r="E11" s="14" t="n">
        <v>0</v>
      </c>
      <c r="F11" s="10" t="n">
        <f aca="false">E11/'Correction factors'!$B$10</f>
        <v>0</v>
      </c>
      <c r="G11" s="11" t="n">
        <v>285</v>
      </c>
    </row>
    <row r="12" customFormat="false" ht="15" hidden="false" customHeight="false" outlineLevel="0" collapsed="false">
      <c r="A12" s="10" t="n">
        <v>3.44943881034851</v>
      </c>
      <c r="B12" s="11" t="n">
        <v>0</v>
      </c>
      <c r="C12" s="12" t="n">
        <f aca="false">B12*'Correction factors'!$B$7</f>
        <v>0</v>
      </c>
      <c r="D12" s="13" t="n">
        <v>9.908186</v>
      </c>
      <c r="E12" s="14" t="n">
        <v>0</v>
      </c>
      <c r="F12" s="10" t="n">
        <f aca="false">E12/'Correction factors'!$B$10</f>
        <v>0</v>
      </c>
      <c r="G12" s="11" t="n">
        <v>286</v>
      </c>
    </row>
    <row r="13" customFormat="false" ht="15" hidden="false" customHeight="false" outlineLevel="0" collapsed="false">
      <c r="A13" s="10" t="n">
        <v>3.90429711341858</v>
      </c>
      <c r="B13" s="11" t="n">
        <v>0</v>
      </c>
      <c r="C13" s="12" t="n">
        <f aca="false">B13*'Correction factors'!$B$7</f>
        <v>0</v>
      </c>
      <c r="D13" s="13" t="n">
        <v>9.927831</v>
      </c>
      <c r="E13" s="14" t="n">
        <v>0</v>
      </c>
      <c r="F13" s="10" t="n">
        <f aca="false">E13/'Correction factors'!$B$10</f>
        <v>0</v>
      </c>
      <c r="G13" s="11" t="n">
        <v>297</v>
      </c>
    </row>
    <row r="14" customFormat="false" ht="15" hidden="false" customHeight="false" outlineLevel="0" collapsed="false">
      <c r="A14" s="10" t="n">
        <v>3.90429711341858</v>
      </c>
      <c r="B14" s="11" t="n">
        <v>0</v>
      </c>
      <c r="C14" s="12" t="n">
        <f aca="false">B14*'Correction factors'!$B$7</f>
        <v>0</v>
      </c>
      <c r="D14" s="13" t="n">
        <v>9.918008</v>
      </c>
      <c r="E14" s="14" t="n">
        <v>0</v>
      </c>
      <c r="F14" s="10" t="n">
        <f aca="false">E14/'Correction factors'!$B$10</f>
        <v>0</v>
      </c>
      <c r="G14" s="11" t="n">
        <v>299</v>
      </c>
    </row>
    <row r="15" customFormat="false" ht="15" hidden="false" customHeight="false" outlineLevel="0" collapsed="false">
      <c r="A15" s="10" t="n">
        <v>4.37968444824219</v>
      </c>
      <c r="B15" s="11" t="n">
        <v>0</v>
      </c>
      <c r="C15" s="12" t="n">
        <f aca="false">B15*'Correction factors'!$B$7</f>
        <v>0</v>
      </c>
      <c r="D15" s="13" t="n">
        <v>9.898365</v>
      </c>
      <c r="E15" s="14" t="n">
        <v>0</v>
      </c>
      <c r="F15" s="10" t="n">
        <f aca="false">E15/'Correction factors'!$B$10</f>
        <v>0</v>
      </c>
      <c r="G15" s="11" t="n">
        <v>310</v>
      </c>
    </row>
    <row r="16" customFormat="false" ht="15" hidden="false" customHeight="false" outlineLevel="0" collapsed="false">
      <c r="A16" s="10" t="n">
        <v>4.37968444824219</v>
      </c>
      <c r="B16" s="11" t="n">
        <v>0</v>
      </c>
      <c r="C16" s="12" t="n">
        <f aca="false">B16*'Correction factors'!$B$7</f>
        <v>0</v>
      </c>
      <c r="D16" s="13" t="n">
        <v>9.888543</v>
      </c>
      <c r="E16" s="14" t="n">
        <v>0</v>
      </c>
      <c r="F16" s="10" t="n">
        <f aca="false">E16/'Correction factors'!$B$10</f>
        <v>0</v>
      </c>
      <c r="G16" s="11" t="n">
        <v>312</v>
      </c>
    </row>
    <row r="17" customFormat="false" ht="15" hidden="false" customHeight="false" outlineLevel="0" collapsed="false">
      <c r="A17" s="10" t="n">
        <v>4.37968444824219</v>
      </c>
      <c r="B17" s="11" t="n">
        <v>0</v>
      </c>
      <c r="C17" s="12" t="n">
        <f aca="false">B17*'Correction factors'!$B$7</f>
        <v>0</v>
      </c>
      <c r="D17" s="13" t="n">
        <v>9.878722</v>
      </c>
      <c r="E17" s="14" t="n">
        <v>0</v>
      </c>
      <c r="F17" s="10" t="n">
        <f aca="false">E17/'Correction factors'!$B$10</f>
        <v>0</v>
      </c>
      <c r="G17" s="11" t="n">
        <v>319</v>
      </c>
    </row>
    <row r="18" customFormat="false" ht="15" hidden="false" customHeight="false" outlineLevel="0" collapsed="false">
      <c r="A18" s="10" t="n">
        <v>4.87950444221497</v>
      </c>
      <c r="B18" s="11" t="n">
        <v>0</v>
      </c>
      <c r="C18" s="12" t="n">
        <f aca="false">B18*'Correction factors'!$B$7</f>
        <v>0</v>
      </c>
      <c r="D18" s="13" t="n">
        <v>9.888543</v>
      </c>
      <c r="E18" s="14" t="n">
        <v>0</v>
      </c>
      <c r="F18" s="10" t="n">
        <f aca="false">E18/'Correction factors'!$B$10</f>
        <v>0</v>
      </c>
      <c r="G18" s="11" t="n">
        <v>327</v>
      </c>
    </row>
    <row r="19" customFormat="false" ht="15" hidden="false" customHeight="false" outlineLevel="0" collapsed="false">
      <c r="A19" s="10" t="n">
        <v>4.87950444221497</v>
      </c>
      <c r="B19" s="11" t="n">
        <v>0</v>
      </c>
      <c r="C19" s="12" t="n">
        <f aca="false">B19*'Correction factors'!$B$7</f>
        <v>0</v>
      </c>
      <c r="D19" s="13" t="n">
        <v>9.878722</v>
      </c>
      <c r="E19" s="14" t="n">
        <v>0</v>
      </c>
      <c r="F19" s="10" t="n">
        <f aca="false">E19/'Correction factors'!$B$10</f>
        <v>0</v>
      </c>
      <c r="G19" s="11" t="n">
        <v>331</v>
      </c>
    </row>
    <row r="20" customFormat="false" ht="15" hidden="false" customHeight="false" outlineLevel="0" collapsed="false">
      <c r="A20" s="10" t="n">
        <v>5.29110050201416</v>
      </c>
      <c r="B20" s="11" t="n">
        <v>0</v>
      </c>
      <c r="C20" s="12" t="n">
        <f aca="false">B20*'Correction factors'!$B$7</f>
        <v>0</v>
      </c>
      <c r="D20" s="13" t="n">
        <v>9.878722</v>
      </c>
      <c r="E20" s="14" t="n">
        <v>0</v>
      </c>
      <c r="F20" s="10" t="n">
        <f aca="false">E20/'Correction factors'!$B$10</f>
        <v>0</v>
      </c>
      <c r="G20" s="11" t="n">
        <v>340</v>
      </c>
    </row>
    <row r="21" customFormat="false" ht="15" hidden="false" customHeight="false" outlineLevel="0" collapsed="false">
      <c r="A21" s="10" t="n">
        <v>5.29110050201416</v>
      </c>
      <c r="B21" s="11" t="n">
        <v>0</v>
      </c>
      <c r="C21" s="12" t="n">
        <f aca="false">B21*'Correction factors'!$B$7</f>
        <v>0</v>
      </c>
      <c r="D21" s="13" t="n">
        <v>9.878722</v>
      </c>
      <c r="E21" s="14" t="n">
        <v>0</v>
      </c>
      <c r="F21" s="10" t="n">
        <f aca="false">E21/'Correction factors'!$B$10</f>
        <v>0</v>
      </c>
      <c r="G21" s="11" t="n">
        <v>342</v>
      </c>
    </row>
    <row r="22" customFormat="false" ht="15" hidden="false" customHeight="false" outlineLevel="0" collapsed="false">
      <c r="A22" s="10" t="n">
        <v>5.72509837150574</v>
      </c>
      <c r="B22" s="11" t="n">
        <v>0</v>
      </c>
      <c r="C22" s="12" t="n">
        <f aca="false">B22*'Correction factors'!$B$7</f>
        <v>0</v>
      </c>
      <c r="D22" s="13" t="n">
        <v>9.8689</v>
      </c>
      <c r="E22" s="14" t="n">
        <v>0</v>
      </c>
      <c r="F22" s="10" t="n">
        <f aca="false">E22/'Correction factors'!$B$10</f>
        <v>0</v>
      </c>
      <c r="G22" s="11" t="n">
        <v>355</v>
      </c>
    </row>
    <row r="23" customFormat="false" ht="15" hidden="false" customHeight="false" outlineLevel="0" collapsed="false">
      <c r="A23" s="10" t="n">
        <v>5.72509837150574</v>
      </c>
      <c r="B23" s="11" t="n">
        <v>0</v>
      </c>
      <c r="C23" s="12" t="n">
        <f aca="false">B23*'Correction factors'!$B$7</f>
        <v>0</v>
      </c>
      <c r="D23" s="13" t="n">
        <v>9.8689</v>
      </c>
      <c r="E23" s="14" t="n">
        <v>0</v>
      </c>
      <c r="F23" s="10" t="n">
        <f aca="false">E23/'Correction factors'!$B$10</f>
        <v>0</v>
      </c>
      <c r="G23" s="11" t="n">
        <v>356</v>
      </c>
    </row>
    <row r="24" customFormat="false" ht="15" hidden="false" customHeight="false" outlineLevel="0" collapsed="false">
      <c r="A24" s="10" t="n">
        <v>6.16122579574585</v>
      </c>
      <c r="B24" s="11" t="n">
        <v>0</v>
      </c>
      <c r="C24" s="12" t="n">
        <f aca="false">B24*'Correction factors'!$B$7</f>
        <v>0</v>
      </c>
      <c r="D24" s="13" t="n">
        <v>9.888543</v>
      </c>
      <c r="E24" s="14" t="n">
        <v>0</v>
      </c>
      <c r="F24" s="10" t="n">
        <f aca="false">E24/'Correction factors'!$B$10</f>
        <v>0</v>
      </c>
      <c r="G24" s="11" t="n">
        <v>366</v>
      </c>
    </row>
    <row r="25" customFormat="false" ht="15" hidden="false" customHeight="false" outlineLevel="0" collapsed="false">
      <c r="A25" s="10" t="n">
        <v>6.16122579574585</v>
      </c>
      <c r="B25" s="11" t="n">
        <v>0</v>
      </c>
      <c r="C25" s="12" t="n">
        <f aca="false">B25*'Correction factors'!$B$7</f>
        <v>0</v>
      </c>
      <c r="D25" s="13" t="n">
        <v>9.8689</v>
      </c>
      <c r="E25" s="14" t="n">
        <v>0</v>
      </c>
      <c r="F25" s="10" t="n">
        <f aca="false">E25/'Correction factors'!$B$10</f>
        <v>0</v>
      </c>
      <c r="G25" s="11" t="n">
        <v>368</v>
      </c>
    </row>
    <row r="26" customFormat="false" ht="15" hidden="false" customHeight="false" outlineLevel="0" collapsed="false">
      <c r="A26" s="10" t="n">
        <v>6.64407539367676</v>
      </c>
      <c r="B26" s="11" t="n">
        <v>0</v>
      </c>
      <c r="C26" s="12" t="n">
        <f aca="false">B26*'Correction factors'!$B$7</f>
        <v>0</v>
      </c>
      <c r="D26" s="13" t="n">
        <v>9.859078</v>
      </c>
      <c r="E26" s="14" t="n">
        <v>0</v>
      </c>
      <c r="F26" s="10" t="n">
        <f aca="false">E26/'Correction factors'!$B$10</f>
        <v>0</v>
      </c>
      <c r="G26" s="11" t="n">
        <v>378</v>
      </c>
    </row>
    <row r="27" customFormat="false" ht="15" hidden="false" customHeight="false" outlineLevel="0" collapsed="false">
      <c r="A27" s="10" t="n">
        <v>6.64407539367676</v>
      </c>
      <c r="B27" s="11" t="n">
        <v>0</v>
      </c>
      <c r="C27" s="12" t="n">
        <f aca="false">B27*'Correction factors'!$B$7</f>
        <v>0</v>
      </c>
      <c r="D27" s="13" t="n">
        <v>9.849258</v>
      </c>
      <c r="E27" s="14" t="n">
        <v>0</v>
      </c>
      <c r="F27" s="10" t="n">
        <f aca="false">E27/'Correction factors'!$B$10</f>
        <v>0</v>
      </c>
      <c r="G27" s="11" t="n">
        <v>381</v>
      </c>
    </row>
    <row r="28" customFormat="false" ht="15" hidden="false" customHeight="false" outlineLevel="0" collapsed="false">
      <c r="A28" s="10" t="n">
        <v>6.64407539367676</v>
      </c>
      <c r="B28" s="11" t="n">
        <v>0</v>
      </c>
      <c r="C28" s="12" t="n">
        <f aca="false">B28*'Correction factors'!$B$7</f>
        <v>0</v>
      </c>
      <c r="D28" s="13" t="n">
        <v>9.859078</v>
      </c>
      <c r="E28" s="14" t="n">
        <v>0</v>
      </c>
      <c r="F28" s="10" t="n">
        <f aca="false">E28/'Correction factors'!$B$10</f>
        <v>0</v>
      </c>
      <c r="G28" s="11" t="n">
        <v>390</v>
      </c>
    </row>
    <row r="29" customFormat="false" ht="15" hidden="false" customHeight="false" outlineLevel="0" collapsed="false">
      <c r="A29" s="10" t="n">
        <v>7.14360165596008</v>
      </c>
      <c r="B29" s="11" t="n">
        <v>0</v>
      </c>
      <c r="C29" s="12" t="n">
        <f aca="false">B29*'Correction factors'!$B$7</f>
        <v>0</v>
      </c>
      <c r="D29" s="13" t="n">
        <v>9.849258</v>
      </c>
      <c r="E29" s="14" t="n">
        <v>0</v>
      </c>
      <c r="F29" s="10" t="n">
        <f aca="false">E29/'Correction factors'!$B$10</f>
        <v>0</v>
      </c>
      <c r="G29" s="11" t="n">
        <v>397</v>
      </c>
    </row>
    <row r="30" customFormat="false" ht="15" hidden="false" customHeight="false" outlineLevel="0" collapsed="false">
      <c r="A30" s="10" t="n">
        <v>7.14360165596008</v>
      </c>
      <c r="B30" s="11" t="n">
        <v>0</v>
      </c>
      <c r="C30" s="12" t="n">
        <f aca="false">B30*'Correction factors'!$B$7</f>
        <v>0</v>
      </c>
      <c r="D30" s="13" t="n">
        <v>9.829614</v>
      </c>
      <c r="E30" s="14" t="n">
        <v>0</v>
      </c>
      <c r="F30" s="10" t="n">
        <f aca="false">E30/'Correction factors'!$B$10</f>
        <v>0</v>
      </c>
      <c r="G30" s="11" t="n">
        <v>400</v>
      </c>
    </row>
    <row r="31" customFormat="false" ht="15" hidden="false" customHeight="false" outlineLevel="0" collapsed="false">
      <c r="A31" s="10" t="n">
        <v>7.60929250717163</v>
      </c>
      <c r="B31" s="11" t="n">
        <v>0</v>
      </c>
      <c r="C31" s="12" t="n">
        <f aca="false">B31*'Correction factors'!$B$7</f>
        <v>0</v>
      </c>
      <c r="D31" s="13" t="n">
        <v>9.839436</v>
      </c>
      <c r="E31" s="14" t="n">
        <v>0</v>
      </c>
      <c r="F31" s="10" t="n">
        <f aca="false">E31/'Correction factors'!$B$10</f>
        <v>0</v>
      </c>
      <c r="G31" s="11" t="n">
        <v>410</v>
      </c>
    </row>
    <row r="32" customFormat="false" ht="15" hidden="false" customHeight="false" outlineLevel="0" collapsed="false">
      <c r="A32" s="10" t="n">
        <v>7.60929250717163</v>
      </c>
      <c r="B32" s="11" t="n">
        <v>0</v>
      </c>
      <c r="C32" s="12" t="n">
        <f aca="false">B32*'Correction factors'!$B$7</f>
        <v>0</v>
      </c>
      <c r="D32" s="13" t="n">
        <v>9.829614</v>
      </c>
      <c r="E32" s="14" t="n">
        <v>0</v>
      </c>
      <c r="F32" s="10" t="n">
        <f aca="false">E32/'Correction factors'!$B$10</f>
        <v>0</v>
      </c>
      <c r="G32" s="11" t="n">
        <v>413</v>
      </c>
    </row>
    <row r="33" customFormat="false" ht="15" hidden="false" customHeight="false" outlineLevel="0" collapsed="false">
      <c r="A33" s="10" t="n">
        <v>8.07718729972839</v>
      </c>
      <c r="B33" s="11" t="n">
        <v>0</v>
      </c>
      <c r="C33" s="12" t="n">
        <f aca="false">B33*'Correction factors'!$B$7</f>
        <v>0</v>
      </c>
      <c r="D33" s="13" t="n">
        <v>9.829614</v>
      </c>
      <c r="E33" s="14" t="n">
        <v>0</v>
      </c>
      <c r="F33" s="10" t="n">
        <f aca="false">E33/'Correction factors'!$B$10</f>
        <v>0</v>
      </c>
      <c r="G33" s="11" t="n">
        <v>423</v>
      </c>
    </row>
    <row r="34" customFormat="false" ht="15" hidden="false" customHeight="false" outlineLevel="0" collapsed="false">
      <c r="A34" s="10" t="n">
        <v>8.07718729972839</v>
      </c>
      <c r="B34" s="11" t="n">
        <v>0</v>
      </c>
      <c r="C34" s="12" t="n">
        <f aca="false">B34*'Correction factors'!$B$7</f>
        <v>0</v>
      </c>
      <c r="D34" s="13" t="n">
        <v>9.829614</v>
      </c>
      <c r="E34" s="14" t="n">
        <v>0</v>
      </c>
      <c r="F34" s="10" t="n">
        <f aca="false">E34/'Correction factors'!$B$10</f>
        <v>0</v>
      </c>
      <c r="G34" s="11" t="n">
        <v>425</v>
      </c>
    </row>
    <row r="35" customFormat="false" ht="15" hidden="false" customHeight="false" outlineLevel="0" collapsed="false">
      <c r="A35" s="10" t="n">
        <v>8.53028702735901</v>
      </c>
      <c r="B35" s="11" t="n">
        <v>0</v>
      </c>
      <c r="C35" s="12" t="n">
        <f aca="false">B35*'Correction factors'!$B$7</f>
        <v>0</v>
      </c>
      <c r="D35" s="13" t="n">
        <v>9.819793</v>
      </c>
      <c r="E35" s="14" t="n">
        <v>0</v>
      </c>
      <c r="F35" s="10" t="n">
        <f aca="false">E35/'Correction factors'!$B$10</f>
        <v>0</v>
      </c>
      <c r="G35" s="11" t="n">
        <v>436</v>
      </c>
    </row>
    <row r="36" customFormat="false" ht="15" hidden="false" customHeight="false" outlineLevel="0" collapsed="false">
      <c r="A36" s="10" t="n">
        <v>8.53028702735901</v>
      </c>
      <c r="B36" s="11" t="n">
        <v>0</v>
      </c>
      <c r="C36" s="12" t="n">
        <f aca="false">B36*'Correction factors'!$B$7</f>
        <v>0</v>
      </c>
      <c r="D36" s="13" t="n">
        <v>9.809971</v>
      </c>
      <c r="E36" s="14" t="n">
        <v>0</v>
      </c>
      <c r="F36" s="10" t="n">
        <f aca="false">E36/'Correction factors'!$B$10</f>
        <v>0</v>
      </c>
      <c r="G36" s="11" t="n">
        <v>439</v>
      </c>
    </row>
    <row r="37" customFormat="false" ht="15" hidden="false" customHeight="false" outlineLevel="0" collapsed="false">
      <c r="A37" s="10" t="n">
        <v>8.53028702735901</v>
      </c>
      <c r="B37" s="11" t="n">
        <v>0</v>
      </c>
      <c r="C37" s="12" t="n">
        <f aca="false">B37*'Correction factors'!$B$7</f>
        <v>0</v>
      </c>
      <c r="D37" s="13" t="n">
        <v>9.809971</v>
      </c>
      <c r="E37" s="14" t="n">
        <v>0</v>
      </c>
      <c r="F37" s="10" t="n">
        <f aca="false">E37/'Correction factors'!$B$10</f>
        <v>0</v>
      </c>
      <c r="G37" s="11" t="n">
        <v>445</v>
      </c>
    </row>
    <row r="38" customFormat="false" ht="15" hidden="false" customHeight="false" outlineLevel="0" collapsed="false">
      <c r="A38" s="10" t="n">
        <v>9.03728532791138</v>
      </c>
      <c r="B38" s="11" t="n">
        <v>0</v>
      </c>
      <c r="C38" s="12" t="n">
        <f aca="false">B38*'Correction factors'!$B$7</f>
        <v>0</v>
      </c>
      <c r="D38" s="13" t="n">
        <v>9.888543</v>
      </c>
      <c r="E38" s="14" t="n">
        <v>0</v>
      </c>
      <c r="F38" s="10" t="n">
        <f aca="false">E38/'Correction factors'!$B$10</f>
        <v>0</v>
      </c>
      <c r="G38" s="11" t="n">
        <v>453</v>
      </c>
    </row>
    <row r="39" customFormat="false" ht="15" hidden="false" customHeight="false" outlineLevel="0" collapsed="false">
      <c r="A39" s="10" t="n">
        <v>9.03728532791138</v>
      </c>
      <c r="B39" s="11" t="n">
        <v>0</v>
      </c>
      <c r="C39" s="12" t="n">
        <f aca="false">B39*'Correction factors'!$B$7</f>
        <v>0</v>
      </c>
      <c r="D39" s="13" t="n">
        <v>9.986759</v>
      </c>
      <c r="E39" s="14" t="n">
        <v>0</v>
      </c>
      <c r="F39" s="10" t="n">
        <f aca="false">E39/'Correction factors'!$B$10</f>
        <v>0</v>
      </c>
      <c r="G39" s="11" t="n">
        <v>456</v>
      </c>
    </row>
    <row r="40" customFormat="false" ht="15" hidden="false" customHeight="false" outlineLevel="0" collapsed="false">
      <c r="A40" s="10" t="n">
        <v>9.4652054309845</v>
      </c>
      <c r="B40" s="11" t="n">
        <v>0</v>
      </c>
      <c r="C40" s="12" t="n">
        <f aca="false">B40*'Correction factors'!$B$7</f>
        <v>0</v>
      </c>
      <c r="D40" s="13" t="n">
        <v>10.05551</v>
      </c>
      <c r="E40" s="14" t="n">
        <v>0</v>
      </c>
      <c r="F40" s="10" t="n">
        <f aca="false">E40/'Correction factors'!$B$10</f>
        <v>0</v>
      </c>
      <c r="G40" s="11" t="n">
        <v>466</v>
      </c>
    </row>
    <row r="41" customFormat="false" ht="15" hidden="false" customHeight="false" outlineLevel="0" collapsed="false">
      <c r="A41" s="10" t="n">
        <v>9.4652054309845</v>
      </c>
      <c r="B41" s="11" t="n">
        <v>0</v>
      </c>
      <c r="C41" s="12" t="n">
        <f aca="false">B41*'Correction factors'!$B$7</f>
        <v>0</v>
      </c>
      <c r="D41" s="13" t="n">
        <v>10.04569</v>
      </c>
      <c r="E41" s="14" t="n">
        <v>0</v>
      </c>
      <c r="F41" s="10" t="n">
        <f aca="false">E41/'Correction factors'!$B$10</f>
        <v>0</v>
      </c>
      <c r="G41" s="11" t="n">
        <v>468</v>
      </c>
    </row>
    <row r="42" customFormat="false" ht="15" hidden="false" customHeight="false" outlineLevel="0" collapsed="false">
      <c r="A42" s="10" t="n">
        <v>9.89018726348877</v>
      </c>
      <c r="B42" s="11" t="n">
        <v>0</v>
      </c>
      <c r="C42" s="12" t="n">
        <f aca="false">B42*'Correction factors'!$B$7</f>
        <v>0</v>
      </c>
      <c r="D42" s="13" t="n">
        <v>10.04569</v>
      </c>
      <c r="E42" s="14" t="n">
        <v>0</v>
      </c>
      <c r="F42" s="10" t="n">
        <f aca="false">E42/'Correction factors'!$B$10</f>
        <v>0</v>
      </c>
      <c r="G42" s="11" t="n">
        <v>478</v>
      </c>
    </row>
    <row r="43" customFormat="false" ht="15" hidden="false" customHeight="false" outlineLevel="0" collapsed="false">
      <c r="A43" s="10" t="n">
        <v>9.89018726348877</v>
      </c>
      <c r="B43" s="11" t="n">
        <v>0</v>
      </c>
      <c r="C43" s="12" t="n">
        <f aca="false">B43*'Correction factors'!$B$7</f>
        <v>0</v>
      </c>
      <c r="D43" s="13" t="n">
        <v>10.04569</v>
      </c>
      <c r="E43" s="14" t="n">
        <v>0</v>
      </c>
      <c r="F43" s="10" t="n">
        <f aca="false">E43/'Correction factors'!$B$10</f>
        <v>0</v>
      </c>
      <c r="G43" s="11" t="n">
        <v>482</v>
      </c>
    </row>
    <row r="44" customFormat="false" ht="15" hidden="false" customHeight="false" outlineLevel="0" collapsed="false">
      <c r="A44" s="10" t="n">
        <v>10.3281872272492</v>
      </c>
      <c r="B44" s="11" t="n">
        <v>0</v>
      </c>
      <c r="C44" s="12" t="n">
        <f aca="false">B44*'Correction factors'!$B$7</f>
        <v>0</v>
      </c>
      <c r="D44" s="13" t="n">
        <v>10.05551</v>
      </c>
      <c r="E44" s="14" t="n">
        <v>0</v>
      </c>
      <c r="F44" s="10" t="n">
        <f aca="false">E44/'Correction factors'!$B$10</f>
        <v>0</v>
      </c>
      <c r="G44" s="11" t="n">
        <v>490</v>
      </c>
    </row>
    <row r="45" customFormat="false" ht="15" hidden="false" customHeight="false" outlineLevel="0" collapsed="false">
      <c r="A45" s="10" t="n">
        <v>10.3281872272492</v>
      </c>
      <c r="B45" s="11" t="n">
        <v>0</v>
      </c>
      <c r="C45" s="12" t="n">
        <f aca="false">B45*'Correction factors'!$B$7</f>
        <v>0</v>
      </c>
      <c r="D45" s="13" t="n">
        <v>10.05551</v>
      </c>
      <c r="E45" s="14" t="n">
        <v>0</v>
      </c>
      <c r="F45" s="10" t="n">
        <f aca="false">E45/'Correction factors'!$B$10</f>
        <v>0</v>
      </c>
      <c r="G45" s="11" t="n">
        <v>493</v>
      </c>
    </row>
    <row r="46" customFormat="false" ht="15" hidden="false" customHeight="false" outlineLevel="0" collapsed="false">
      <c r="A46" s="10" t="n">
        <v>10.7711865901947</v>
      </c>
      <c r="B46" s="11" t="n">
        <v>0</v>
      </c>
      <c r="C46" s="12" t="n">
        <f aca="false">B46*'Correction factors'!$B$7</f>
        <v>0</v>
      </c>
      <c r="D46" s="13" t="n">
        <v>10.04569</v>
      </c>
      <c r="E46" s="14" t="n">
        <v>0</v>
      </c>
      <c r="F46" s="10" t="n">
        <f aca="false">E46/'Correction factors'!$B$10</f>
        <v>0</v>
      </c>
      <c r="G46" s="11" t="n">
        <v>502</v>
      </c>
    </row>
    <row r="47" customFormat="false" ht="15" hidden="false" customHeight="false" outlineLevel="0" collapsed="false">
      <c r="A47" s="10" t="n">
        <v>10.7711865901947</v>
      </c>
      <c r="B47" s="11" t="n">
        <v>0</v>
      </c>
      <c r="C47" s="12" t="n">
        <f aca="false">B47*'Correction factors'!$B$7</f>
        <v>0</v>
      </c>
      <c r="D47" s="13" t="n">
        <v>10.05551</v>
      </c>
      <c r="E47" s="14" t="n">
        <v>0</v>
      </c>
      <c r="F47" s="10" t="n">
        <f aca="false">E47/'Correction factors'!$B$10</f>
        <v>0</v>
      </c>
      <c r="G47" s="11" t="n">
        <v>506</v>
      </c>
    </row>
    <row r="48" customFormat="false" ht="15" hidden="false" customHeight="false" outlineLevel="0" collapsed="false">
      <c r="A48" s="10" t="n">
        <v>10.7711865901947</v>
      </c>
      <c r="B48" s="11" t="n">
        <v>0</v>
      </c>
      <c r="C48" s="12" t="n">
        <f aca="false">B48*'Correction factors'!$B$7</f>
        <v>0</v>
      </c>
      <c r="D48" s="13" t="n">
        <v>10.05551</v>
      </c>
      <c r="E48" s="14" t="n">
        <v>0</v>
      </c>
      <c r="F48" s="10" t="n">
        <f aca="false">E48/'Correction factors'!$B$10</f>
        <v>0</v>
      </c>
      <c r="G48" s="11" t="n">
        <v>509</v>
      </c>
    </row>
    <row r="49" customFormat="false" ht="15" hidden="false" customHeight="false" outlineLevel="0" collapsed="false">
      <c r="A49" s="10" t="n">
        <v>11.2972912788391</v>
      </c>
      <c r="B49" s="11" t="n">
        <v>0</v>
      </c>
      <c r="C49" s="12" t="n">
        <f aca="false">B49*'Correction factors'!$B$7</f>
        <v>0</v>
      </c>
      <c r="D49" s="13" t="n">
        <v>10.04569</v>
      </c>
      <c r="E49" s="14" t="n">
        <v>0</v>
      </c>
      <c r="F49" s="10" t="n">
        <f aca="false">E49/'Correction factors'!$B$10</f>
        <v>0</v>
      </c>
      <c r="G49" s="11" t="n">
        <v>509</v>
      </c>
    </row>
    <row r="50" customFormat="false" ht="15" hidden="false" customHeight="false" outlineLevel="0" collapsed="false">
      <c r="A50" s="10" t="n">
        <v>11.2972912788391</v>
      </c>
      <c r="B50" s="11" t="n">
        <v>0</v>
      </c>
      <c r="C50" s="12" t="n">
        <f aca="false">B50*'Correction factors'!$B$7</f>
        <v>0</v>
      </c>
      <c r="D50" s="13" t="n">
        <v>10.04569</v>
      </c>
      <c r="E50" s="14" t="n">
        <v>0</v>
      </c>
      <c r="F50" s="10" t="n">
        <f aca="false">E50/'Correction factors'!$B$10</f>
        <v>0</v>
      </c>
      <c r="G50" s="11" t="n">
        <v>509</v>
      </c>
    </row>
    <row r="51" customFormat="false" ht="15" hidden="false" customHeight="false" outlineLevel="0" collapsed="false">
      <c r="A51" s="10" t="n">
        <v>11.7464752197266</v>
      </c>
      <c r="B51" s="11" t="n">
        <v>0</v>
      </c>
      <c r="C51" s="12" t="n">
        <f aca="false">B51*'Correction factors'!$B$7</f>
        <v>0</v>
      </c>
      <c r="D51" s="13" t="n">
        <v>10.04569</v>
      </c>
      <c r="E51" s="14" t="n">
        <v>0</v>
      </c>
      <c r="F51" s="10" t="n">
        <f aca="false">E51/'Correction factors'!$B$10</f>
        <v>0</v>
      </c>
      <c r="G51" s="11" t="n">
        <v>509</v>
      </c>
    </row>
    <row r="52" customFormat="false" ht="15" hidden="false" customHeight="false" outlineLevel="0" collapsed="false">
      <c r="A52" s="10" t="n">
        <v>11.7464752197266</v>
      </c>
      <c r="B52" s="11" t="n">
        <v>320</v>
      </c>
      <c r="C52" s="12" t="n">
        <f aca="false">B52*'Correction factors'!$B$7</f>
        <v>1548.48</v>
      </c>
      <c r="D52" s="13" t="n">
        <v>8.179586</v>
      </c>
      <c r="E52" s="14" t="n">
        <v>184</v>
      </c>
      <c r="F52" s="10" t="n">
        <f aca="false">E52/'Correction factors'!$B$10</f>
        <v>14.8396</v>
      </c>
      <c r="G52" s="11" t="n">
        <v>508</v>
      </c>
    </row>
    <row r="53" customFormat="false" ht="15" hidden="false" customHeight="false" outlineLevel="0" collapsed="false">
      <c r="A53" s="10" t="n">
        <v>12.2046520709992</v>
      </c>
      <c r="B53" s="11" t="n">
        <v>1600</v>
      </c>
      <c r="C53" s="12" t="n">
        <f aca="false">B53*'Correction factors'!$B$7</f>
        <v>7742.4</v>
      </c>
      <c r="D53" s="13" t="n">
        <v>7.384037</v>
      </c>
      <c r="E53" s="14" t="n">
        <v>968</v>
      </c>
      <c r="F53" s="10" t="n">
        <f aca="false">E53/'Correction factors'!$B$10</f>
        <v>78.0692</v>
      </c>
      <c r="G53" s="11" t="n">
        <v>488</v>
      </c>
    </row>
    <row r="54" customFormat="false" ht="15" hidden="false" customHeight="false" outlineLevel="0" collapsed="false">
      <c r="A54" s="10" t="n">
        <v>12.2046520709992</v>
      </c>
      <c r="B54" s="11" t="n">
        <v>1540</v>
      </c>
      <c r="C54" s="12" t="n">
        <f aca="false">B54*'Correction factors'!$B$7</f>
        <v>7452.06</v>
      </c>
      <c r="D54" s="13" t="n">
        <v>6.716168</v>
      </c>
      <c r="E54" s="14" t="n">
        <v>976</v>
      </c>
      <c r="F54" s="10" t="n">
        <f aca="false">E54/'Correction factors'!$B$10</f>
        <v>78.7144</v>
      </c>
      <c r="G54" s="11" t="n">
        <v>474</v>
      </c>
    </row>
    <row r="55" customFormat="false" ht="15" hidden="false" customHeight="false" outlineLevel="0" collapsed="false">
      <c r="A55" s="10" t="n">
        <v>12.6807289123535</v>
      </c>
      <c r="B55" s="11" t="n">
        <v>1380</v>
      </c>
      <c r="C55" s="12" t="n">
        <f aca="false">B55*'Correction factors'!$B$7</f>
        <v>6677.82</v>
      </c>
      <c r="D55" s="13" t="n">
        <v>6.185802</v>
      </c>
      <c r="E55" s="14" t="n">
        <v>936</v>
      </c>
      <c r="F55" s="10" t="n">
        <f aca="false">E55/'Correction factors'!$B$10</f>
        <v>75.4884</v>
      </c>
      <c r="G55" s="11" t="n">
        <v>214</v>
      </c>
    </row>
    <row r="56" customFormat="false" ht="15" hidden="false" customHeight="false" outlineLevel="0" collapsed="false">
      <c r="A56" s="10" t="n">
        <v>12.6807289123535</v>
      </c>
      <c r="B56" s="11" t="n">
        <v>1000</v>
      </c>
      <c r="C56" s="12" t="n">
        <f aca="false">B56*'Correction factors'!$B$7</f>
        <v>4839</v>
      </c>
      <c r="D56" s="13" t="n">
        <v>6.981351</v>
      </c>
      <c r="E56" s="14" t="n">
        <v>616</v>
      </c>
      <c r="F56" s="10" t="n">
        <f aca="false">E56/'Correction factors'!$B$10</f>
        <v>49.6804</v>
      </c>
      <c r="G56" s="11" t="n">
        <v>210</v>
      </c>
    </row>
    <row r="57" customFormat="false" ht="15" hidden="false" customHeight="false" outlineLevel="0" collapsed="false">
      <c r="A57" s="10" t="n">
        <v>12.6807289123535</v>
      </c>
      <c r="B57" s="11" t="n">
        <v>200</v>
      </c>
      <c r="C57" s="12" t="n">
        <f aca="false">B57*'Correction factors'!$B$7</f>
        <v>967.8</v>
      </c>
      <c r="D57" s="13" t="n">
        <v>7.393858</v>
      </c>
      <c r="E57" s="14" t="n">
        <v>96</v>
      </c>
      <c r="F57" s="10" t="n">
        <f aca="false">E57/'Correction factors'!$B$10</f>
        <v>7.7424</v>
      </c>
      <c r="G57" s="11" t="n">
        <v>221</v>
      </c>
    </row>
    <row r="58" customFormat="false" ht="15" hidden="false" customHeight="false" outlineLevel="0" collapsed="false">
      <c r="A58" s="10" t="n">
        <v>13.1668817996979</v>
      </c>
      <c r="B58" s="11" t="n">
        <v>0</v>
      </c>
      <c r="C58" s="12" t="n">
        <f aca="false">B58*'Correction factors'!$B$7</f>
        <v>0</v>
      </c>
      <c r="D58" s="13" t="n">
        <v>7.659041</v>
      </c>
      <c r="E58" s="14" t="n">
        <v>8</v>
      </c>
      <c r="F58" s="10" t="n">
        <f aca="false">E58/'Correction factors'!$B$10</f>
        <v>0.6452</v>
      </c>
      <c r="G58" s="11" t="n">
        <v>360</v>
      </c>
    </row>
    <row r="59" customFormat="false" ht="15" hidden="false" customHeight="false" outlineLevel="0" collapsed="false">
      <c r="A59" s="10" t="n">
        <v>13.1668817996979</v>
      </c>
      <c r="B59" s="11" t="n">
        <v>260</v>
      </c>
      <c r="C59" s="12" t="n">
        <f aca="false">B59*'Correction factors'!$B$7</f>
        <v>1258.14</v>
      </c>
      <c r="D59" s="13" t="n">
        <v>7.560825</v>
      </c>
      <c r="E59" s="14" t="n">
        <v>112</v>
      </c>
      <c r="F59" s="10" t="n">
        <f aca="false">E59/'Correction factors'!$B$10</f>
        <v>9.0328</v>
      </c>
      <c r="G59" s="11" t="n">
        <v>372</v>
      </c>
    </row>
    <row r="60" customFormat="false" ht="15" hidden="false" customHeight="false" outlineLevel="0" collapsed="false">
      <c r="A60" s="10" t="n">
        <v>13.6288130283356</v>
      </c>
      <c r="B60" s="11" t="n">
        <v>480</v>
      </c>
      <c r="C60" s="12" t="n">
        <f aca="false">B60*'Correction factors'!$B$7</f>
        <v>2322.72</v>
      </c>
      <c r="D60" s="13" t="n">
        <v>7.501896</v>
      </c>
      <c r="E60" s="14" t="n">
        <v>192</v>
      </c>
      <c r="F60" s="10" t="n">
        <f aca="false">E60/'Correction factors'!$B$10</f>
        <v>15.4848</v>
      </c>
      <c r="G60" s="11" t="n">
        <v>352</v>
      </c>
    </row>
    <row r="61" customFormat="false" ht="15" hidden="false" customHeight="false" outlineLevel="0" collapsed="false">
      <c r="A61" s="10" t="n">
        <v>13.6288130283356</v>
      </c>
      <c r="B61" s="11" t="n">
        <v>580</v>
      </c>
      <c r="C61" s="12" t="n">
        <f aca="false">B61*'Correction factors'!$B$7</f>
        <v>2806.62</v>
      </c>
      <c r="D61" s="13" t="n">
        <v>7.452788</v>
      </c>
      <c r="E61" s="14" t="n">
        <v>192</v>
      </c>
      <c r="F61" s="10" t="n">
        <f aca="false">E61/'Correction factors'!$B$10</f>
        <v>15.4848</v>
      </c>
      <c r="G61" s="11" t="n">
        <v>339</v>
      </c>
    </row>
    <row r="62" customFormat="false" ht="15" hidden="false" customHeight="false" outlineLevel="0" collapsed="false">
      <c r="A62" s="10" t="n">
        <v>14.0884413719177</v>
      </c>
      <c r="B62" s="11" t="n">
        <v>540</v>
      </c>
      <c r="C62" s="12" t="n">
        <f aca="false">B62*'Correction factors'!$B$7</f>
        <v>2613.06</v>
      </c>
      <c r="D62" s="13" t="n">
        <v>7.521539</v>
      </c>
      <c r="E62" s="14" t="n">
        <v>192</v>
      </c>
      <c r="F62" s="10" t="n">
        <f aca="false">E62/'Correction factors'!$B$10</f>
        <v>15.4848</v>
      </c>
      <c r="G62" s="11" t="n">
        <v>283</v>
      </c>
    </row>
    <row r="63" customFormat="false" ht="15" hidden="false" customHeight="false" outlineLevel="0" collapsed="false">
      <c r="A63" s="10" t="n">
        <v>14.0884413719177</v>
      </c>
      <c r="B63" s="11" t="n">
        <v>100</v>
      </c>
      <c r="C63" s="12" t="n">
        <f aca="false">B63*'Correction factors'!$B$7</f>
        <v>483.9</v>
      </c>
      <c r="D63" s="13" t="n">
        <v>7.826008</v>
      </c>
      <c r="E63" s="14" t="n">
        <v>48</v>
      </c>
      <c r="F63" s="10" t="n">
        <f aca="false">E63/'Correction factors'!$B$10</f>
        <v>3.8712</v>
      </c>
      <c r="G63" s="11" t="n">
        <v>285</v>
      </c>
    </row>
    <row r="64" customFormat="false" ht="15" hidden="false" customHeight="false" outlineLevel="0" collapsed="false">
      <c r="A64" s="10" t="n">
        <v>14.0884413719177</v>
      </c>
      <c r="B64" s="11" t="n">
        <v>0</v>
      </c>
      <c r="C64" s="12" t="n">
        <f aca="false">B64*'Correction factors'!$B$7</f>
        <v>0</v>
      </c>
      <c r="D64" s="13" t="n">
        <v>8.061727</v>
      </c>
      <c r="E64" s="14" t="n">
        <v>0</v>
      </c>
      <c r="F64" s="10" t="n">
        <f aca="false">E64/'Correction factors'!$B$10</f>
        <v>0</v>
      </c>
      <c r="G64" s="11" t="n">
        <v>317</v>
      </c>
    </row>
    <row r="65" customFormat="false" ht="15" hidden="false" customHeight="false" outlineLevel="0" collapsed="false">
      <c r="A65" s="10" t="n">
        <v>14.6158125400543</v>
      </c>
      <c r="B65" s="11" t="n">
        <v>100</v>
      </c>
      <c r="C65" s="12" t="n">
        <f aca="false">B65*'Correction factors'!$B$7</f>
        <v>483.9</v>
      </c>
      <c r="D65" s="13" t="n">
        <v>7.884938</v>
      </c>
      <c r="E65" s="14" t="n">
        <v>64</v>
      </c>
      <c r="F65" s="10" t="n">
        <f aca="false">E65/'Correction factors'!$B$10</f>
        <v>5.1616</v>
      </c>
      <c r="G65" s="11" t="n">
        <v>372</v>
      </c>
    </row>
    <row r="66" customFormat="false" ht="15" hidden="false" customHeight="false" outlineLevel="0" collapsed="false">
      <c r="A66" s="10" t="n">
        <v>14.6158125400543</v>
      </c>
      <c r="B66" s="11" t="n">
        <v>680</v>
      </c>
      <c r="C66" s="12" t="n">
        <f aca="false">B66*'Correction factors'!$B$7</f>
        <v>3290.52</v>
      </c>
      <c r="D66" s="13" t="n">
        <v>7.64922</v>
      </c>
      <c r="E66" s="14" t="n">
        <v>248</v>
      </c>
      <c r="F66" s="10" t="n">
        <f aca="false">E66/'Correction factors'!$B$10</f>
        <v>20.0012</v>
      </c>
      <c r="G66" s="11" t="n">
        <v>365</v>
      </c>
    </row>
    <row r="67" customFormat="false" ht="15" hidden="false" customHeight="false" outlineLevel="0" collapsed="false">
      <c r="A67" s="10" t="n">
        <v>15.0969610214233</v>
      </c>
      <c r="B67" s="11" t="n">
        <v>680</v>
      </c>
      <c r="C67" s="12" t="n">
        <f aca="false">B67*'Correction factors'!$B$7</f>
        <v>3290.52</v>
      </c>
      <c r="D67" s="13" t="n">
        <v>7.668863</v>
      </c>
      <c r="E67" s="14" t="n">
        <v>264</v>
      </c>
      <c r="F67" s="10" t="n">
        <f aca="false">E67/'Correction factors'!$B$10</f>
        <v>21.2916</v>
      </c>
      <c r="G67" s="11" t="n">
        <v>256</v>
      </c>
    </row>
    <row r="68" customFormat="false" ht="15" hidden="false" customHeight="false" outlineLevel="0" collapsed="false">
      <c r="A68" s="10" t="n">
        <v>15.0969610214233</v>
      </c>
      <c r="B68" s="11" t="n">
        <v>120</v>
      </c>
      <c r="C68" s="12" t="n">
        <f aca="false">B68*'Correction factors'!$B$7</f>
        <v>580.68</v>
      </c>
      <c r="D68" s="13" t="n">
        <v>7.973332</v>
      </c>
      <c r="E68" s="14" t="n">
        <v>48</v>
      </c>
      <c r="F68" s="10" t="n">
        <f aca="false">E68/'Correction factors'!$B$10</f>
        <v>3.8712</v>
      </c>
      <c r="G68" s="11" t="n">
        <v>251</v>
      </c>
    </row>
    <row r="69" customFormat="false" ht="15" hidden="false" customHeight="false" outlineLevel="0" collapsed="false">
      <c r="A69" s="10" t="n">
        <v>15.5776796340942</v>
      </c>
      <c r="B69" s="11" t="n">
        <v>0</v>
      </c>
      <c r="C69" s="12" t="n">
        <f aca="false">B69*'Correction factors'!$B$7</f>
        <v>0</v>
      </c>
      <c r="D69" s="13" t="n">
        <v>8.209051</v>
      </c>
      <c r="E69" s="14" t="n">
        <v>8</v>
      </c>
      <c r="F69" s="10" t="n">
        <f aca="false">E69/'Correction factors'!$B$10</f>
        <v>0.6452</v>
      </c>
      <c r="G69" s="11" t="n">
        <v>329</v>
      </c>
    </row>
    <row r="70" customFormat="false" ht="15" hidden="false" customHeight="false" outlineLevel="0" collapsed="false">
      <c r="A70" s="10" t="n">
        <v>15.5776796340942</v>
      </c>
      <c r="B70" s="11" t="n">
        <v>20</v>
      </c>
      <c r="C70" s="12" t="n">
        <f aca="false">B70*'Correction factors'!$B$7</f>
        <v>96.78</v>
      </c>
      <c r="D70" s="13" t="n">
        <v>8.287623</v>
      </c>
      <c r="E70" s="14" t="n">
        <v>0</v>
      </c>
      <c r="F70" s="10" t="n">
        <f aca="false">E70/'Correction factors'!$B$10</f>
        <v>0</v>
      </c>
      <c r="G70" s="11" t="n">
        <v>340</v>
      </c>
    </row>
    <row r="71" customFormat="false" ht="15" hidden="false" customHeight="false" outlineLevel="0" collapsed="false">
      <c r="A71" s="10" t="n">
        <v>15.5776796340942</v>
      </c>
      <c r="B71" s="11" t="n">
        <v>0</v>
      </c>
      <c r="C71" s="12" t="n">
        <f aca="false">B71*'Correction factors'!$B$7</f>
        <v>0</v>
      </c>
      <c r="D71" s="13" t="n">
        <v>8.346553</v>
      </c>
      <c r="E71" s="14" t="n">
        <v>24</v>
      </c>
      <c r="F71" s="10" t="n">
        <f aca="false">E71/'Correction factors'!$B$10</f>
        <v>1.9356</v>
      </c>
      <c r="G71" s="11" t="n">
        <v>356</v>
      </c>
    </row>
    <row r="72" customFormat="false" ht="15" hidden="false" customHeight="false" outlineLevel="0" collapsed="false">
      <c r="A72" s="10" t="n">
        <v>16.1143026351929</v>
      </c>
      <c r="B72" s="11" t="n">
        <v>60</v>
      </c>
      <c r="C72" s="12" t="n">
        <f aca="false">B72*'Correction factors'!$B$7</f>
        <v>290.34</v>
      </c>
      <c r="D72" s="13" t="n">
        <v>8.189407</v>
      </c>
      <c r="E72" s="14" t="n">
        <v>64</v>
      </c>
      <c r="F72" s="10" t="n">
        <f aca="false">E72/'Correction factors'!$B$10</f>
        <v>5.1616</v>
      </c>
      <c r="G72" s="11" t="n">
        <v>366</v>
      </c>
    </row>
    <row r="73" customFormat="false" ht="15" hidden="false" customHeight="false" outlineLevel="0" collapsed="false">
      <c r="A73" s="10" t="n">
        <v>16.1143026351929</v>
      </c>
      <c r="B73" s="11" t="n">
        <v>480</v>
      </c>
      <c r="C73" s="12" t="n">
        <f aca="false">B73*'Correction factors'!$B$7</f>
        <v>2322.72</v>
      </c>
      <c r="D73" s="13" t="n">
        <v>8.02244</v>
      </c>
      <c r="E73" s="14" t="n">
        <v>168</v>
      </c>
      <c r="F73" s="10" t="n">
        <f aca="false">E73/'Correction factors'!$B$10</f>
        <v>13.5492</v>
      </c>
      <c r="G73" s="11" t="n">
        <v>362</v>
      </c>
    </row>
    <row r="74" customFormat="false" ht="15" hidden="false" customHeight="false" outlineLevel="0" collapsed="false">
      <c r="A74" s="10" t="n">
        <v>16.6090440750122</v>
      </c>
      <c r="B74" s="11" t="n">
        <v>540</v>
      </c>
      <c r="C74" s="12" t="n">
        <f aca="false">B74*'Correction factors'!$B$7</f>
        <v>2613.06</v>
      </c>
      <c r="D74" s="13" t="n">
        <v>7.875116</v>
      </c>
      <c r="E74" s="14" t="n">
        <v>176</v>
      </c>
      <c r="F74" s="10" t="n">
        <f aca="false">E74/'Correction factors'!$B$10</f>
        <v>14.1944</v>
      </c>
      <c r="G74" s="11" t="n">
        <v>288</v>
      </c>
    </row>
    <row r="75" customFormat="false" ht="15" hidden="false" customHeight="false" outlineLevel="0" collapsed="false">
      <c r="A75" s="10" t="n">
        <v>16.6090440750122</v>
      </c>
      <c r="B75" s="11" t="n">
        <v>240</v>
      </c>
      <c r="C75" s="12" t="n">
        <f aca="false">B75*'Correction factors'!$B$7</f>
        <v>1161.36</v>
      </c>
      <c r="D75" s="13" t="n">
        <v>8.081369</v>
      </c>
      <c r="E75" s="14" t="n">
        <v>104</v>
      </c>
      <c r="F75" s="10" t="n">
        <f aca="false">E75/'Correction factors'!$B$10</f>
        <v>8.3876</v>
      </c>
      <c r="G75" s="11" t="n">
        <v>279</v>
      </c>
    </row>
    <row r="76" customFormat="false" ht="15" hidden="false" customHeight="false" outlineLevel="0" collapsed="false">
      <c r="A76" s="10" t="n">
        <v>16.6090440750122</v>
      </c>
      <c r="B76" s="11" t="n">
        <v>0</v>
      </c>
      <c r="C76" s="12" t="n">
        <f aca="false">B76*'Correction factors'!$B$7</f>
        <v>0</v>
      </c>
      <c r="D76" s="13" t="n">
        <v>8.238516</v>
      </c>
      <c r="E76" s="14" t="n">
        <v>16</v>
      </c>
      <c r="F76" s="10" t="n">
        <f aca="false">E76/'Correction factors'!$B$10</f>
        <v>1.2904</v>
      </c>
      <c r="G76" s="11" t="n">
        <v>292</v>
      </c>
    </row>
    <row r="77" customFormat="false" ht="15" hidden="false" customHeight="false" outlineLevel="0" collapsed="false">
      <c r="A77" s="10" t="n">
        <v>17.1205735206604</v>
      </c>
      <c r="B77" s="11" t="n">
        <v>0</v>
      </c>
      <c r="C77" s="12" t="n">
        <f aca="false">B77*'Correction factors'!$B$7</f>
        <v>0</v>
      </c>
      <c r="D77" s="13" t="n">
        <v>8.199229</v>
      </c>
      <c r="E77" s="14" t="n">
        <v>8</v>
      </c>
      <c r="F77" s="10" t="n">
        <f aca="false">E77/'Correction factors'!$B$10</f>
        <v>0.6452</v>
      </c>
      <c r="G77" s="11" t="n">
        <v>357</v>
      </c>
    </row>
    <row r="78" customFormat="false" ht="15" hidden="false" customHeight="false" outlineLevel="0" collapsed="false">
      <c r="A78" s="10" t="n">
        <v>17.1205735206604</v>
      </c>
      <c r="B78" s="11" t="n">
        <v>360</v>
      </c>
      <c r="C78" s="12" t="n">
        <f aca="false">B78*'Correction factors'!$B$7</f>
        <v>1742.04</v>
      </c>
      <c r="D78" s="13" t="n">
        <v>8.012619</v>
      </c>
      <c r="E78" s="14" t="n">
        <v>128</v>
      </c>
      <c r="F78" s="10" t="n">
        <f aca="false">E78/'Correction factors'!$B$10</f>
        <v>10.3232</v>
      </c>
      <c r="G78" s="11" t="n">
        <v>358</v>
      </c>
    </row>
    <row r="79" customFormat="false" ht="15" hidden="false" customHeight="false" outlineLevel="0" collapsed="false">
      <c r="A79" s="10" t="n">
        <v>17.60484623909</v>
      </c>
      <c r="B79" s="11" t="n">
        <v>500</v>
      </c>
      <c r="C79" s="12" t="n">
        <f aca="false">B79*'Correction factors'!$B$7</f>
        <v>2419.5</v>
      </c>
      <c r="D79" s="13" t="n">
        <v>7.904582</v>
      </c>
      <c r="E79" s="14" t="n">
        <v>160</v>
      </c>
      <c r="F79" s="10" t="n">
        <f aca="false">E79/'Correction factors'!$B$10</f>
        <v>12.904</v>
      </c>
      <c r="G79" s="11" t="n">
        <v>301</v>
      </c>
    </row>
    <row r="80" customFormat="false" ht="15" hidden="false" customHeight="false" outlineLevel="0" collapsed="false">
      <c r="A80" s="10" t="n">
        <v>17.60484623909</v>
      </c>
      <c r="B80" s="11" t="n">
        <v>180</v>
      </c>
      <c r="C80" s="12" t="n">
        <f aca="false">B80*'Correction factors'!$B$7</f>
        <v>871.02</v>
      </c>
      <c r="D80" s="13" t="n">
        <v>8.071548</v>
      </c>
      <c r="E80" s="14" t="n">
        <v>88</v>
      </c>
      <c r="F80" s="10" t="n">
        <f aca="false">E80/'Correction factors'!$B$10</f>
        <v>7.0972</v>
      </c>
      <c r="G80" s="11" t="n">
        <v>288</v>
      </c>
    </row>
    <row r="81" customFormat="false" ht="15" hidden="false" customHeight="false" outlineLevel="0" collapsed="false">
      <c r="A81" s="10" t="n">
        <v>17.60484623909</v>
      </c>
      <c r="B81" s="11" t="n">
        <v>0</v>
      </c>
      <c r="C81" s="12" t="n">
        <f aca="false">B81*'Correction factors'!$B$7</f>
        <v>0</v>
      </c>
      <c r="D81" s="13" t="n">
        <v>8.199229</v>
      </c>
      <c r="E81" s="14" t="n">
        <v>16</v>
      </c>
      <c r="F81" s="10" t="n">
        <f aca="false">E81/'Correction factors'!$B$10</f>
        <v>1.2904</v>
      </c>
      <c r="G81" s="11" t="n">
        <v>299</v>
      </c>
    </row>
    <row r="82" customFormat="false" ht="15" hidden="false" customHeight="false" outlineLevel="0" collapsed="false">
      <c r="A82" s="10" t="n">
        <v>18.1256535053253</v>
      </c>
      <c r="B82" s="11" t="n">
        <v>80</v>
      </c>
      <c r="C82" s="12" t="n">
        <f aca="false">B82*'Correction factors'!$B$7</f>
        <v>387.12</v>
      </c>
      <c r="D82" s="13" t="n">
        <v>8.120657</v>
      </c>
      <c r="E82" s="14" t="n">
        <v>24</v>
      </c>
      <c r="F82" s="10" t="n">
        <f aca="false">E82/'Correction factors'!$B$10</f>
        <v>1.9356</v>
      </c>
      <c r="G82" s="11" t="n">
        <v>355</v>
      </c>
    </row>
    <row r="83" customFormat="false" ht="15" hidden="false" customHeight="false" outlineLevel="0" collapsed="false">
      <c r="A83" s="10" t="n">
        <v>18.1256535053253</v>
      </c>
      <c r="B83" s="11" t="n">
        <v>420</v>
      </c>
      <c r="C83" s="12" t="n">
        <f aca="false">B83*'Correction factors'!$B$7</f>
        <v>2032.38</v>
      </c>
      <c r="D83" s="13" t="n">
        <v>7.963511</v>
      </c>
      <c r="E83" s="14" t="n">
        <v>120</v>
      </c>
      <c r="F83" s="10" t="n">
        <f aca="false">E83/'Correction factors'!$B$10</f>
        <v>9.678</v>
      </c>
      <c r="G83" s="11" t="n">
        <v>350</v>
      </c>
    </row>
    <row r="84" customFormat="false" ht="15" hidden="false" customHeight="false" outlineLevel="0" collapsed="false">
      <c r="A84" s="10" t="n">
        <v>18.5911085605621</v>
      </c>
      <c r="B84" s="11" t="n">
        <v>460</v>
      </c>
      <c r="C84" s="12" t="n">
        <f aca="false">B84*'Correction factors'!$B$7</f>
        <v>2225.94</v>
      </c>
      <c r="D84" s="13" t="n">
        <v>7.943868</v>
      </c>
      <c r="E84" s="14" t="n">
        <v>144</v>
      </c>
      <c r="F84" s="10" t="n">
        <f aca="false">E84/'Correction factors'!$B$10</f>
        <v>11.6136</v>
      </c>
      <c r="G84" s="11" t="n">
        <v>286</v>
      </c>
    </row>
    <row r="85" customFormat="false" ht="15" hidden="false" customHeight="false" outlineLevel="0" collapsed="false">
      <c r="A85" s="10" t="n">
        <v>18.5911085605621</v>
      </c>
      <c r="B85" s="11" t="n">
        <v>80</v>
      </c>
      <c r="C85" s="12" t="n">
        <f aca="false">B85*'Correction factors'!$B$7</f>
        <v>387.12</v>
      </c>
      <c r="D85" s="13" t="n">
        <v>8.101013</v>
      </c>
      <c r="E85" s="14" t="n">
        <v>48</v>
      </c>
      <c r="F85" s="10" t="n">
        <f aca="false">E85/'Correction factors'!$B$10</f>
        <v>3.8712</v>
      </c>
      <c r="G85" s="11" t="n">
        <v>286</v>
      </c>
    </row>
    <row r="86" customFormat="false" ht="15" hidden="false" customHeight="false" outlineLevel="0" collapsed="false">
      <c r="A86" s="10" t="n">
        <v>19.047536611557</v>
      </c>
      <c r="B86" s="11" t="n">
        <v>0</v>
      </c>
      <c r="C86" s="12" t="n">
        <f aca="false">B86*'Correction factors'!$B$7</f>
        <v>0</v>
      </c>
      <c r="D86" s="13" t="n">
        <v>8.199229</v>
      </c>
      <c r="E86" s="14" t="n">
        <v>8</v>
      </c>
      <c r="F86" s="10" t="n">
        <f aca="false">E86/'Correction factors'!$B$10</f>
        <v>0.6452</v>
      </c>
      <c r="G86" s="11" t="n">
        <v>335</v>
      </c>
    </row>
    <row r="87" customFormat="false" ht="15" hidden="false" customHeight="false" outlineLevel="0" collapsed="false">
      <c r="A87" s="10" t="n">
        <v>19.047536611557</v>
      </c>
      <c r="B87" s="11" t="n">
        <v>40</v>
      </c>
      <c r="C87" s="12" t="n">
        <f aca="false">B87*'Correction factors'!$B$7</f>
        <v>193.56</v>
      </c>
      <c r="D87" s="13" t="n">
        <v>8.169765</v>
      </c>
      <c r="E87" s="14" t="n">
        <v>16</v>
      </c>
      <c r="F87" s="10" t="n">
        <f aca="false">E87/'Correction factors'!$B$10</f>
        <v>1.2904</v>
      </c>
      <c r="G87" s="11" t="n">
        <v>343</v>
      </c>
    </row>
    <row r="88" customFormat="false" ht="15" hidden="false" customHeight="false" outlineLevel="0" collapsed="false">
      <c r="A88" s="10" t="n">
        <v>19.047536611557</v>
      </c>
      <c r="B88" s="11" t="n">
        <v>160</v>
      </c>
      <c r="C88" s="12" t="n">
        <f aca="false">B88*'Correction factors'!$B$7</f>
        <v>774.24</v>
      </c>
      <c r="D88" s="13" t="n">
        <v>8.150122</v>
      </c>
      <c r="E88" s="14" t="n">
        <v>40</v>
      </c>
      <c r="F88" s="10" t="n">
        <f aca="false">E88/'Correction factors'!$B$10</f>
        <v>3.226</v>
      </c>
      <c r="G88" s="11" t="n">
        <v>352</v>
      </c>
    </row>
    <row r="89" customFormat="false" ht="15" hidden="false" customHeight="false" outlineLevel="0" collapsed="false">
      <c r="A89" s="10" t="n">
        <v>19.5651481151581</v>
      </c>
      <c r="B89" s="11" t="n">
        <v>240</v>
      </c>
      <c r="C89" s="12" t="n">
        <f aca="false">B89*'Correction factors'!$B$7</f>
        <v>1161.36</v>
      </c>
      <c r="D89" s="13" t="n">
        <v>8.061727</v>
      </c>
      <c r="E89" s="14" t="n">
        <v>48</v>
      </c>
      <c r="F89" s="10" t="n">
        <f aca="false">E89/'Correction factors'!$B$10</f>
        <v>3.8712</v>
      </c>
      <c r="G89" s="11" t="n">
        <v>335</v>
      </c>
    </row>
    <row r="90" customFormat="false" ht="15" hidden="false" customHeight="false" outlineLevel="0" collapsed="false">
      <c r="A90" s="10" t="n">
        <v>19.5651481151581</v>
      </c>
      <c r="B90" s="11" t="n">
        <v>300</v>
      </c>
      <c r="C90" s="12" t="n">
        <f aca="false">B90*'Correction factors'!$B$7</f>
        <v>1451.7</v>
      </c>
      <c r="D90" s="13" t="n">
        <v>8.002797</v>
      </c>
      <c r="E90" s="14" t="n">
        <v>72</v>
      </c>
      <c r="F90" s="10" t="n">
        <f aca="false">E90/'Correction factors'!$B$10</f>
        <v>5.8068</v>
      </c>
      <c r="G90" s="11" t="n">
        <v>332</v>
      </c>
    </row>
    <row r="91" customFormat="false" ht="15" hidden="false" customHeight="false" outlineLevel="0" collapsed="false">
      <c r="A91" s="10" t="n">
        <v>20.0237219333649</v>
      </c>
      <c r="B91" s="11" t="n">
        <v>260</v>
      </c>
      <c r="C91" s="12" t="n">
        <f aca="false">B91*'Correction factors'!$B$7</f>
        <v>1258.14</v>
      </c>
      <c r="D91" s="13" t="n">
        <v>7.983154</v>
      </c>
      <c r="E91" s="14" t="n">
        <v>72</v>
      </c>
      <c r="F91" s="10" t="n">
        <f aca="false">E91/'Correction factors'!$B$10</f>
        <v>5.8068</v>
      </c>
      <c r="G91" s="11" t="n">
        <v>310</v>
      </c>
    </row>
    <row r="92" customFormat="false" ht="15" hidden="false" customHeight="false" outlineLevel="0" collapsed="false">
      <c r="A92" s="10" t="n">
        <v>20.0237219333649</v>
      </c>
      <c r="B92" s="11" t="n">
        <v>100</v>
      </c>
      <c r="C92" s="12" t="n">
        <f aca="false">B92*'Correction factors'!$B$7</f>
        <v>483.9</v>
      </c>
      <c r="D92" s="13" t="n">
        <v>8.051905</v>
      </c>
      <c r="E92" s="14" t="n">
        <v>24</v>
      </c>
      <c r="F92" s="10" t="n">
        <f aca="false">E92/'Correction factors'!$B$10</f>
        <v>1.9356</v>
      </c>
      <c r="G92" s="11" t="n">
        <v>312</v>
      </c>
    </row>
    <row r="93" customFormat="false" ht="15" hidden="false" customHeight="false" outlineLevel="0" collapsed="false">
      <c r="A93" s="10" t="n">
        <v>20.5158874988556</v>
      </c>
      <c r="B93" s="11" t="n">
        <v>40</v>
      </c>
      <c r="C93" s="12" t="n">
        <f aca="false">B93*'Correction factors'!$B$7</f>
        <v>193.56</v>
      </c>
      <c r="D93" s="13" t="n">
        <v>8.091191</v>
      </c>
      <c r="E93" s="14" t="n">
        <v>16</v>
      </c>
      <c r="F93" s="10" t="n">
        <f aca="false">E93/'Correction factors'!$B$10</f>
        <v>1.2904</v>
      </c>
      <c r="G93" s="11" t="n">
        <v>342</v>
      </c>
    </row>
    <row r="94" customFormat="false" ht="15" hidden="false" customHeight="false" outlineLevel="0" collapsed="false">
      <c r="A94" s="10" t="n">
        <v>20.5158874988556</v>
      </c>
      <c r="B94" s="11" t="n">
        <v>120</v>
      </c>
      <c r="C94" s="12" t="n">
        <f aca="false">B94*'Correction factors'!$B$7</f>
        <v>580.68</v>
      </c>
      <c r="D94" s="13" t="n">
        <v>8.032263</v>
      </c>
      <c r="E94" s="14" t="n">
        <v>32</v>
      </c>
      <c r="F94" s="10" t="n">
        <f aca="false">E94/'Correction factors'!$B$10</f>
        <v>2.5808</v>
      </c>
      <c r="G94" s="11" t="n">
        <v>347</v>
      </c>
    </row>
    <row r="95" customFormat="false" ht="15" hidden="false" customHeight="false" outlineLevel="0" collapsed="false">
      <c r="A95" s="10" t="n">
        <v>20.5158874988556</v>
      </c>
      <c r="B95" s="11" t="n">
        <v>200</v>
      </c>
      <c r="C95" s="12" t="n">
        <f aca="false">B95*'Correction factors'!$B$7</f>
        <v>967.8</v>
      </c>
      <c r="D95" s="13" t="n">
        <v>8.002797</v>
      </c>
      <c r="E95" s="14" t="n">
        <v>40</v>
      </c>
      <c r="F95" s="10" t="n">
        <f aca="false">E95/'Correction factors'!$B$10</f>
        <v>3.226</v>
      </c>
      <c r="G95" s="11" t="n">
        <v>347</v>
      </c>
    </row>
    <row r="96" customFormat="false" ht="15" hidden="false" customHeight="false" outlineLevel="0" collapsed="false">
      <c r="A96" s="10" t="n">
        <v>21.0058534145355</v>
      </c>
      <c r="B96" s="11" t="n">
        <v>220</v>
      </c>
      <c r="C96" s="12" t="n">
        <f aca="false">B96*'Correction factors'!$B$7</f>
        <v>1064.58</v>
      </c>
      <c r="D96" s="13" t="n">
        <v>7.963511</v>
      </c>
      <c r="E96" s="14" t="n">
        <v>48</v>
      </c>
      <c r="F96" s="10" t="n">
        <f aca="false">E96/'Correction factors'!$B$10</f>
        <v>3.8712</v>
      </c>
      <c r="G96" s="11" t="n">
        <v>334</v>
      </c>
    </row>
    <row r="97" customFormat="false" ht="15" hidden="false" customHeight="false" outlineLevel="0" collapsed="false">
      <c r="A97" s="10" t="n">
        <v>21.0058534145355</v>
      </c>
      <c r="B97" s="11" t="n">
        <v>200</v>
      </c>
      <c r="C97" s="12" t="n">
        <f aca="false">B97*'Correction factors'!$B$7</f>
        <v>967.8</v>
      </c>
      <c r="D97" s="13" t="n">
        <v>7.924224</v>
      </c>
      <c r="E97" s="14" t="n">
        <v>48</v>
      </c>
      <c r="F97" s="10" t="n">
        <f aca="false">E97/'Correction factors'!$B$10</f>
        <v>3.8712</v>
      </c>
      <c r="G97" s="11" t="n">
        <v>333</v>
      </c>
    </row>
    <row r="98" customFormat="false" ht="15" hidden="false" customHeight="false" outlineLevel="0" collapsed="false">
      <c r="A98" s="10" t="n">
        <v>21.4505496025085</v>
      </c>
      <c r="B98" s="11" t="n">
        <v>200</v>
      </c>
      <c r="C98" s="12" t="n">
        <f aca="false">B98*'Correction factors'!$B$7</f>
        <v>967.8</v>
      </c>
      <c r="D98" s="13" t="n">
        <v>7.89476</v>
      </c>
      <c r="E98" s="14" t="n">
        <v>48</v>
      </c>
      <c r="F98" s="10" t="n">
        <f aca="false">E98/'Correction factors'!$B$10</f>
        <v>3.8712</v>
      </c>
      <c r="G98" s="11" t="n">
        <v>333</v>
      </c>
    </row>
    <row r="99" customFormat="false" ht="15" hidden="false" customHeight="false" outlineLevel="0" collapsed="false">
      <c r="A99" s="10" t="n">
        <v>21.4505496025085</v>
      </c>
      <c r="B99" s="11" t="n">
        <v>200</v>
      </c>
      <c r="C99" s="12" t="n">
        <f aca="false">B99*'Correction factors'!$B$7</f>
        <v>967.8</v>
      </c>
      <c r="D99" s="13" t="n">
        <v>7.865295</v>
      </c>
      <c r="E99" s="14" t="n">
        <v>48</v>
      </c>
      <c r="F99" s="10" t="n">
        <f aca="false">E99/'Correction factors'!$B$10</f>
        <v>3.8712</v>
      </c>
      <c r="G99" s="11" t="n">
        <v>333</v>
      </c>
    </row>
    <row r="100" customFormat="false" ht="15" hidden="false" customHeight="false" outlineLevel="0" collapsed="false">
      <c r="A100" s="10" t="n">
        <v>21.8955476284027</v>
      </c>
      <c r="B100" s="11" t="n">
        <v>200</v>
      </c>
      <c r="C100" s="12" t="n">
        <f aca="false">B100*'Correction factors'!$B$7</f>
        <v>967.8</v>
      </c>
      <c r="D100" s="13" t="n">
        <v>7.845652</v>
      </c>
      <c r="E100" s="14" t="n">
        <v>48</v>
      </c>
      <c r="F100" s="10" t="n">
        <f aca="false">E100/'Correction factors'!$B$10</f>
        <v>3.8712</v>
      </c>
      <c r="G100" s="11" t="n">
        <v>333</v>
      </c>
    </row>
    <row r="101" customFormat="false" ht="15" hidden="false" customHeight="false" outlineLevel="0" collapsed="false">
      <c r="A101" s="10" t="n">
        <v>21.8955476284027</v>
      </c>
      <c r="B101" s="11" t="n">
        <v>200</v>
      </c>
      <c r="C101" s="12" t="n">
        <f aca="false">B101*'Correction factors'!$B$7</f>
        <v>967.8</v>
      </c>
      <c r="D101" s="13" t="n">
        <v>7.816187</v>
      </c>
      <c r="E101" s="14" t="n">
        <v>48</v>
      </c>
      <c r="F101" s="10" t="n">
        <f aca="false">E101/'Correction factors'!$B$10</f>
        <v>3.8712</v>
      </c>
      <c r="G101" s="11" t="n">
        <v>333</v>
      </c>
    </row>
    <row r="102" customFormat="false" ht="15" hidden="false" customHeight="false" outlineLevel="0" collapsed="false">
      <c r="A102" s="10" t="n">
        <v>22.3499484062195</v>
      </c>
      <c r="B102" s="11" t="n">
        <v>200</v>
      </c>
      <c r="C102" s="12" t="n">
        <f aca="false">B102*'Correction factors'!$B$7</f>
        <v>967.8</v>
      </c>
      <c r="D102" s="13" t="n">
        <v>7.776901</v>
      </c>
      <c r="E102" s="14" t="n">
        <v>48</v>
      </c>
      <c r="F102" s="10" t="n">
        <f aca="false">E102/'Correction factors'!$B$10</f>
        <v>3.8712</v>
      </c>
      <c r="G102" s="11" t="n">
        <v>333</v>
      </c>
    </row>
    <row r="103" customFormat="false" ht="15" hidden="false" customHeight="false" outlineLevel="0" collapsed="false">
      <c r="A103" s="10" t="n">
        <v>22.3499484062195</v>
      </c>
      <c r="B103" s="11" t="n">
        <v>180</v>
      </c>
      <c r="C103" s="12" t="n">
        <f aca="false">B103*'Correction factors'!$B$7</f>
        <v>871.02</v>
      </c>
      <c r="D103" s="13" t="n">
        <v>7.767079</v>
      </c>
      <c r="E103" s="14" t="n">
        <v>48</v>
      </c>
      <c r="F103" s="10" t="n">
        <f aca="false">E103/'Correction factors'!$B$10</f>
        <v>3.8712</v>
      </c>
      <c r="G103" s="11" t="n">
        <v>333</v>
      </c>
    </row>
    <row r="104" customFormat="false" ht="15" hidden="false" customHeight="false" outlineLevel="0" collapsed="false">
      <c r="A104" s="10" t="n">
        <v>22.3499484062195</v>
      </c>
      <c r="B104" s="11" t="n">
        <v>200</v>
      </c>
      <c r="C104" s="12" t="n">
        <f aca="false">B104*'Correction factors'!$B$7</f>
        <v>967.8</v>
      </c>
      <c r="D104" s="13" t="n">
        <v>7.737614</v>
      </c>
      <c r="E104" s="14" t="n">
        <v>48</v>
      </c>
      <c r="F104" s="10" t="n">
        <f aca="false">E104/'Correction factors'!$B$10</f>
        <v>3.8712</v>
      </c>
      <c r="G104" s="11" t="n">
        <v>337</v>
      </c>
    </row>
    <row r="105" customFormat="false" ht="15" hidden="false" customHeight="false" outlineLevel="0" collapsed="false">
      <c r="A105" s="10" t="n">
        <v>22.8648099899292</v>
      </c>
      <c r="B105" s="11" t="n">
        <v>200</v>
      </c>
      <c r="C105" s="12" t="n">
        <f aca="false">B105*'Correction factors'!$B$7</f>
        <v>967.8</v>
      </c>
      <c r="D105" s="13" t="n">
        <v>7.717971</v>
      </c>
      <c r="E105" s="14" t="n">
        <v>40</v>
      </c>
      <c r="F105" s="10" t="n">
        <f aca="false">E105/'Correction factors'!$B$10</f>
        <v>3.226</v>
      </c>
      <c r="G105" s="11" t="n">
        <v>335</v>
      </c>
    </row>
    <row r="106" customFormat="false" ht="15" hidden="false" customHeight="false" outlineLevel="0" collapsed="false">
      <c r="A106" s="10" t="n">
        <v>22.8648099899292</v>
      </c>
      <c r="B106" s="11" t="n">
        <v>180</v>
      </c>
      <c r="C106" s="12" t="n">
        <f aca="false">B106*'Correction factors'!$B$7</f>
        <v>871.02</v>
      </c>
      <c r="D106" s="13" t="n">
        <v>7.708149</v>
      </c>
      <c r="E106" s="14" t="n">
        <v>48</v>
      </c>
      <c r="F106" s="10" t="n">
        <f aca="false">E106/'Correction factors'!$B$10</f>
        <v>3.8712</v>
      </c>
      <c r="G106" s="11" t="n">
        <v>335</v>
      </c>
    </row>
    <row r="107" customFormat="false" ht="15" hidden="false" customHeight="false" outlineLevel="0" collapsed="false">
      <c r="A107" s="10" t="n">
        <v>23.3001568317413</v>
      </c>
      <c r="B107" s="11" t="n">
        <v>180</v>
      </c>
      <c r="C107" s="12" t="n">
        <f aca="false">B107*'Correction factors'!$B$7</f>
        <v>871.02</v>
      </c>
      <c r="D107" s="13" t="n">
        <v>7.668863</v>
      </c>
      <c r="E107" s="14" t="n">
        <v>48</v>
      </c>
      <c r="F107" s="10" t="n">
        <f aca="false">E107/'Correction factors'!$B$10</f>
        <v>3.8712</v>
      </c>
      <c r="G107" s="11" t="n">
        <v>336</v>
      </c>
    </row>
    <row r="108" customFormat="false" ht="15" hidden="false" customHeight="false" outlineLevel="0" collapsed="false">
      <c r="A108" s="10" t="n">
        <v>23.3001568317413</v>
      </c>
      <c r="B108" s="11" t="n">
        <v>200</v>
      </c>
      <c r="C108" s="12" t="n">
        <f aca="false">B108*'Correction factors'!$B$7</f>
        <v>967.8</v>
      </c>
      <c r="D108" s="13" t="n">
        <v>7.659041</v>
      </c>
      <c r="E108" s="14" t="n">
        <v>40</v>
      </c>
      <c r="F108" s="10" t="n">
        <f aca="false">E108/'Correction factors'!$B$10</f>
        <v>3.226</v>
      </c>
      <c r="G108" s="11" t="n">
        <v>336</v>
      </c>
    </row>
    <row r="109" customFormat="false" ht="15" hidden="false" customHeight="false" outlineLevel="0" collapsed="false">
      <c r="A109" s="10" t="n">
        <v>23.7320268154144</v>
      </c>
      <c r="B109" s="11" t="n">
        <v>180</v>
      </c>
      <c r="C109" s="12" t="n">
        <f aca="false">B109*'Correction factors'!$B$7</f>
        <v>871.02</v>
      </c>
      <c r="D109" s="13" t="n">
        <v>7.629577</v>
      </c>
      <c r="E109" s="14" t="n">
        <v>48</v>
      </c>
      <c r="F109" s="10" t="n">
        <f aca="false">E109/'Correction factors'!$B$10</f>
        <v>3.8712</v>
      </c>
      <c r="G109" s="11" t="n">
        <v>336</v>
      </c>
    </row>
    <row r="110" customFormat="false" ht="15" hidden="false" customHeight="false" outlineLevel="0" collapsed="false">
      <c r="A110" s="10" t="n">
        <v>23.7320268154144</v>
      </c>
      <c r="B110" s="11" t="n">
        <v>160</v>
      </c>
      <c r="C110" s="12" t="n">
        <f aca="false">B110*'Correction factors'!$B$7</f>
        <v>774.24</v>
      </c>
      <c r="D110" s="13" t="n">
        <v>7.619755</v>
      </c>
      <c r="E110" s="14" t="n">
        <v>48</v>
      </c>
      <c r="F110" s="10" t="n">
        <f aca="false">E110/'Correction factors'!$B$10</f>
        <v>3.8712</v>
      </c>
      <c r="G110" s="11" t="n">
        <v>337</v>
      </c>
    </row>
    <row r="111" customFormat="false" ht="15" hidden="false" customHeight="false" outlineLevel="0" collapsed="false">
      <c r="A111" s="10" t="n">
        <v>24.1594033241272</v>
      </c>
      <c r="B111" s="11" t="n">
        <v>180</v>
      </c>
      <c r="C111" s="12" t="n">
        <f aca="false">B111*'Correction factors'!$B$7</f>
        <v>871.02</v>
      </c>
      <c r="D111" s="13" t="n">
        <v>7.580468</v>
      </c>
      <c r="E111" s="14" t="n">
        <v>40</v>
      </c>
      <c r="F111" s="10" t="n">
        <f aca="false">E111/'Correction factors'!$B$10</f>
        <v>3.226</v>
      </c>
      <c r="G111" s="11" t="n">
        <v>343</v>
      </c>
    </row>
    <row r="112" customFormat="false" ht="15" hidden="false" customHeight="false" outlineLevel="0" collapsed="false">
      <c r="A112" s="10" t="n">
        <v>24.1594033241272</v>
      </c>
      <c r="B112" s="11" t="n">
        <v>180</v>
      </c>
      <c r="C112" s="12" t="n">
        <f aca="false">B112*'Correction factors'!$B$7</f>
        <v>871.02</v>
      </c>
      <c r="D112" s="13" t="n">
        <v>7.570647</v>
      </c>
      <c r="E112" s="14" t="n">
        <v>48</v>
      </c>
      <c r="F112" s="10" t="n">
        <f aca="false">E112/'Correction factors'!$B$10</f>
        <v>3.8712</v>
      </c>
      <c r="G112" s="11" t="n">
        <v>342</v>
      </c>
    </row>
    <row r="113" customFormat="false" ht="15" hidden="false" customHeight="false" outlineLevel="0" collapsed="false">
      <c r="A113" s="10" t="n">
        <v>24.5797567367554</v>
      </c>
      <c r="B113" s="11" t="n">
        <v>180</v>
      </c>
      <c r="C113" s="12" t="n">
        <f aca="false">B113*'Correction factors'!$B$7</f>
        <v>871.02</v>
      </c>
      <c r="D113" s="13" t="n">
        <v>7.541183</v>
      </c>
      <c r="E113" s="14" t="n">
        <v>40</v>
      </c>
      <c r="F113" s="10" t="n">
        <f aca="false">E113/'Correction factors'!$B$10</f>
        <v>3.226</v>
      </c>
      <c r="G113" s="11" t="n">
        <v>342</v>
      </c>
    </row>
    <row r="114" customFormat="false" ht="15" hidden="false" customHeight="false" outlineLevel="0" collapsed="false">
      <c r="A114" s="10" t="n">
        <v>24.5797567367554</v>
      </c>
      <c r="B114" s="11" t="n">
        <v>180</v>
      </c>
      <c r="C114" s="12" t="n">
        <f aca="false">B114*'Correction factors'!$B$7</f>
        <v>871.02</v>
      </c>
      <c r="D114" s="13" t="n">
        <v>7.531361</v>
      </c>
      <c r="E114" s="14" t="n">
        <v>48</v>
      </c>
      <c r="F114" s="10" t="n">
        <f aca="false">E114/'Correction factors'!$B$10</f>
        <v>3.8712</v>
      </c>
      <c r="G114" s="11" t="n">
        <v>342</v>
      </c>
    </row>
    <row r="115" customFormat="false" ht="15" hidden="false" customHeight="false" outlineLevel="0" collapsed="false">
      <c r="A115" s="10" t="n">
        <v>25.0428791046143</v>
      </c>
      <c r="B115" s="11" t="n">
        <v>180</v>
      </c>
      <c r="C115" s="12" t="n">
        <f aca="false">B115*'Correction factors'!$B$7</f>
        <v>871.02</v>
      </c>
      <c r="D115" s="13" t="n">
        <v>7.521539</v>
      </c>
      <c r="E115" s="14" t="n">
        <v>48</v>
      </c>
      <c r="F115" s="10" t="n">
        <f aca="false">E115/'Correction factors'!$B$10</f>
        <v>3.8712</v>
      </c>
      <c r="G115" s="11" t="n">
        <v>342</v>
      </c>
    </row>
    <row r="116" customFormat="false" ht="15" hidden="false" customHeight="false" outlineLevel="0" collapsed="false">
      <c r="A116" s="10" t="n">
        <v>25.0428791046143</v>
      </c>
      <c r="B116" s="11" t="n">
        <v>160</v>
      </c>
      <c r="C116" s="12" t="n">
        <f aca="false">B116*'Correction factors'!$B$7</f>
        <v>774.24</v>
      </c>
      <c r="D116" s="13" t="n">
        <v>7.492074</v>
      </c>
      <c r="E116" s="14" t="n">
        <v>40</v>
      </c>
      <c r="F116" s="10" t="n">
        <f aca="false">E116/'Correction factors'!$B$10</f>
        <v>3.226</v>
      </c>
      <c r="G116" s="11" t="n">
        <v>343</v>
      </c>
    </row>
    <row r="117" customFormat="false" ht="15" hidden="false" customHeight="false" outlineLevel="0" collapsed="false">
      <c r="A117" s="10" t="n">
        <v>25.0428791046143</v>
      </c>
      <c r="B117" s="11" t="n">
        <v>160</v>
      </c>
      <c r="C117" s="12" t="n">
        <f aca="false">B117*'Correction factors'!$B$7</f>
        <v>774.24</v>
      </c>
      <c r="D117" s="13" t="n">
        <v>7.46261</v>
      </c>
      <c r="E117" s="14" t="n">
        <v>48</v>
      </c>
      <c r="F117" s="10" t="n">
        <f aca="false">E117/'Correction factors'!$B$10</f>
        <v>3.8712</v>
      </c>
      <c r="G117" s="11" t="n">
        <v>345</v>
      </c>
    </row>
    <row r="118" customFormat="false" ht="15" hidden="false" customHeight="false" outlineLevel="0" collapsed="false">
      <c r="A118" s="10" t="n">
        <v>25.53630900383</v>
      </c>
      <c r="B118" s="11" t="n">
        <v>180</v>
      </c>
      <c r="C118" s="12" t="n">
        <f aca="false">B118*'Correction factors'!$B$7</f>
        <v>871.02</v>
      </c>
      <c r="D118" s="13" t="n">
        <v>7.452788</v>
      </c>
      <c r="E118" s="14" t="n">
        <v>40</v>
      </c>
      <c r="F118" s="10" t="n">
        <f aca="false">E118/'Correction factors'!$B$10</f>
        <v>3.226</v>
      </c>
      <c r="G118" s="11" t="n">
        <v>347</v>
      </c>
    </row>
    <row r="119" customFormat="false" ht="15" hidden="false" customHeight="false" outlineLevel="0" collapsed="false">
      <c r="A119" s="10" t="n">
        <v>25.53630900383</v>
      </c>
      <c r="B119" s="11" t="n">
        <v>160</v>
      </c>
      <c r="C119" s="12" t="n">
        <f aca="false">B119*'Correction factors'!$B$7</f>
        <v>774.24</v>
      </c>
      <c r="D119" s="13" t="n">
        <v>7.423323</v>
      </c>
      <c r="E119" s="14" t="n">
        <v>48</v>
      </c>
      <c r="F119" s="10" t="n">
        <f aca="false">E119/'Correction factors'!$B$10</f>
        <v>3.8712</v>
      </c>
      <c r="G119" s="11" t="n">
        <v>347</v>
      </c>
    </row>
    <row r="120" customFormat="false" ht="15" hidden="false" customHeight="false" outlineLevel="0" collapsed="false">
      <c r="A120" s="10" t="n">
        <v>25.9630484580994</v>
      </c>
      <c r="B120" s="11" t="n">
        <v>180</v>
      </c>
      <c r="C120" s="12" t="n">
        <f aca="false">B120*'Correction factors'!$B$7</f>
        <v>871.02</v>
      </c>
      <c r="D120" s="13" t="n">
        <v>7.40368</v>
      </c>
      <c r="E120" s="14" t="n">
        <v>48</v>
      </c>
      <c r="F120" s="10" t="n">
        <f aca="false">E120/'Correction factors'!$B$10</f>
        <v>3.8712</v>
      </c>
      <c r="G120" s="11" t="n">
        <v>348</v>
      </c>
    </row>
    <row r="121" customFormat="false" ht="15" hidden="false" customHeight="false" outlineLevel="0" collapsed="false">
      <c r="A121" s="10" t="n">
        <v>25.9630484580994</v>
      </c>
      <c r="B121" s="11" t="n">
        <v>160</v>
      </c>
      <c r="C121" s="12" t="n">
        <f aca="false">B121*'Correction factors'!$B$7</f>
        <v>774.24</v>
      </c>
      <c r="D121" s="13" t="n">
        <v>7.384037</v>
      </c>
      <c r="E121" s="14" t="n">
        <v>48</v>
      </c>
      <c r="F121" s="10" t="n">
        <f aca="false">E121/'Correction factors'!$B$10</f>
        <v>3.8712</v>
      </c>
      <c r="G121" s="11" t="n">
        <v>348</v>
      </c>
    </row>
    <row r="122" customFormat="false" ht="15" hidden="false" customHeight="false" outlineLevel="0" collapsed="false">
      <c r="A122" s="10" t="n">
        <v>26.4006609916687</v>
      </c>
      <c r="B122" s="11" t="n">
        <v>160</v>
      </c>
      <c r="C122" s="12" t="n">
        <f aca="false">B122*'Correction factors'!$B$7</f>
        <v>774.24</v>
      </c>
      <c r="D122" s="13" t="n">
        <v>7.354572</v>
      </c>
      <c r="E122" s="14" t="n">
        <v>48</v>
      </c>
      <c r="F122" s="10" t="n">
        <f aca="false">E122/'Correction factors'!$B$10</f>
        <v>3.8712</v>
      </c>
      <c r="G122" s="11" t="n">
        <v>349</v>
      </c>
    </row>
    <row r="123" customFormat="false" ht="15" hidden="false" customHeight="false" outlineLevel="0" collapsed="false">
      <c r="A123" s="10" t="n">
        <v>26.4006609916687</v>
      </c>
      <c r="B123" s="11" t="n">
        <v>180</v>
      </c>
      <c r="C123" s="12" t="n">
        <f aca="false">B123*'Correction factors'!$B$7</f>
        <v>871.02</v>
      </c>
      <c r="D123" s="13" t="n">
        <v>7.334929</v>
      </c>
      <c r="E123" s="14" t="n">
        <v>48</v>
      </c>
      <c r="F123" s="10" t="n">
        <f aca="false">E123/'Correction factors'!$B$10</f>
        <v>3.8712</v>
      </c>
      <c r="G123" s="11" t="n">
        <v>349</v>
      </c>
    </row>
    <row r="124" customFormat="false" ht="15" hidden="false" customHeight="false" outlineLevel="0" collapsed="false">
      <c r="A124" s="10" t="n">
        <v>26.8458287715912</v>
      </c>
      <c r="B124" s="11" t="n">
        <v>180</v>
      </c>
      <c r="C124" s="12" t="n">
        <f aca="false">B124*'Correction factors'!$B$7</f>
        <v>871.02</v>
      </c>
      <c r="D124" s="13" t="n">
        <v>7.315285</v>
      </c>
      <c r="E124" s="14" t="n">
        <v>48</v>
      </c>
      <c r="F124" s="10" t="n">
        <f aca="false">E124/'Correction factors'!$B$10</f>
        <v>3.8712</v>
      </c>
      <c r="G124" s="11" t="n">
        <v>349</v>
      </c>
    </row>
    <row r="125" customFormat="false" ht="15" hidden="false" customHeight="false" outlineLevel="0" collapsed="false">
      <c r="A125" s="10" t="n">
        <v>26.8458287715912</v>
      </c>
      <c r="B125" s="11" t="n">
        <v>200</v>
      </c>
      <c r="C125" s="12" t="n">
        <f aca="false">B125*'Correction factors'!$B$7</f>
        <v>967.8</v>
      </c>
      <c r="D125" s="13" t="n">
        <v>7.295642</v>
      </c>
      <c r="E125" s="14" t="n">
        <v>48</v>
      </c>
      <c r="F125" s="10" t="n">
        <f aca="false">E125/'Correction factors'!$B$10</f>
        <v>3.8712</v>
      </c>
      <c r="G125" s="11" t="n">
        <v>349</v>
      </c>
    </row>
    <row r="126" customFormat="false" ht="15" hidden="false" customHeight="false" outlineLevel="0" collapsed="false">
      <c r="A126" s="10" t="n">
        <v>27.2788519859314</v>
      </c>
      <c r="B126" s="11" t="n">
        <v>180</v>
      </c>
      <c r="C126" s="12" t="n">
        <f aca="false">B126*'Correction factors'!$B$7</f>
        <v>871.02</v>
      </c>
      <c r="D126" s="13" t="n">
        <v>7.256356</v>
      </c>
      <c r="E126" s="14" t="n">
        <v>48</v>
      </c>
      <c r="F126" s="10" t="n">
        <f aca="false">E126/'Correction factors'!$B$10</f>
        <v>3.8712</v>
      </c>
      <c r="G126" s="11" t="n">
        <v>348</v>
      </c>
    </row>
    <row r="127" customFormat="false" ht="15" hidden="false" customHeight="false" outlineLevel="0" collapsed="false">
      <c r="A127" s="10" t="n">
        <v>27.2788519859314</v>
      </c>
      <c r="B127" s="11" t="n">
        <v>180</v>
      </c>
      <c r="C127" s="12" t="n">
        <f aca="false">B127*'Correction factors'!$B$7</f>
        <v>871.02</v>
      </c>
      <c r="D127" s="13" t="n">
        <v>7.236713</v>
      </c>
      <c r="E127" s="14" t="n">
        <v>56</v>
      </c>
      <c r="F127" s="10" t="n">
        <f aca="false">E127/'Correction factors'!$B$10</f>
        <v>4.5164</v>
      </c>
      <c r="G127" s="11" t="n">
        <v>349</v>
      </c>
    </row>
    <row r="128" customFormat="false" ht="15" hidden="false" customHeight="false" outlineLevel="0" collapsed="false">
      <c r="A128" s="10" t="n">
        <v>27.7138726711273</v>
      </c>
      <c r="B128" s="11" t="n">
        <v>180</v>
      </c>
      <c r="C128" s="12" t="n">
        <f aca="false">B128*'Correction factors'!$B$7</f>
        <v>871.02</v>
      </c>
      <c r="D128" s="13" t="n">
        <v>7.21707</v>
      </c>
      <c r="E128" s="14" t="n">
        <v>48</v>
      </c>
      <c r="F128" s="10" t="n">
        <f aca="false">E128/'Correction factors'!$B$10</f>
        <v>3.8712</v>
      </c>
      <c r="G128" s="11" t="n">
        <v>349</v>
      </c>
    </row>
    <row r="129" customFormat="false" ht="15" hidden="false" customHeight="false" outlineLevel="0" collapsed="false">
      <c r="A129" s="10" t="n">
        <v>27.7138726711273</v>
      </c>
      <c r="B129" s="11" t="n">
        <v>160</v>
      </c>
      <c r="C129" s="12" t="n">
        <f aca="false">B129*'Correction factors'!$B$7</f>
        <v>774.24</v>
      </c>
      <c r="D129" s="13" t="n">
        <v>7.197427</v>
      </c>
      <c r="E129" s="14" t="n">
        <v>48</v>
      </c>
      <c r="F129" s="10" t="n">
        <f aca="false">E129/'Correction factors'!$B$10</f>
        <v>3.8712</v>
      </c>
      <c r="G129" s="11" t="n">
        <v>349</v>
      </c>
    </row>
    <row r="130" customFormat="false" ht="15" hidden="false" customHeight="false" outlineLevel="0" collapsed="false">
      <c r="A130" s="10" t="n">
        <v>27.7138726711273</v>
      </c>
      <c r="B130" s="11" t="n">
        <v>160</v>
      </c>
      <c r="C130" s="12" t="n">
        <f aca="false">B130*'Correction factors'!$B$7</f>
        <v>774.24</v>
      </c>
      <c r="D130" s="13" t="n">
        <v>7.177783</v>
      </c>
      <c r="E130" s="14" t="n">
        <v>48</v>
      </c>
      <c r="F130" s="10" t="n">
        <f aca="false">E130/'Correction factors'!$B$10</f>
        <v>3.8712</v>
      </c>
      <c r="G130" s="11" t="n">
        <v>355</v>
      </c>
    </row>
    <row r="131" customFormat="false" ht="15" hidden="false" customHeight="false" outlineLevel="0" collapsed="false">
      <c r="A131" s="10" t="n">
        <v>28.2047212123871</v>
      </c>
      <c r="B131" s="11" t="n">
        <v>220</v>
      </c>
      <c r="C131" s="12" t="n">
        <f aca="false">B131*'Correction factors'!$B$7</f>
        <v>1064.58</v>
      </c>
      <c r="D131" s="13" t="n">
        <v>7.109032</v>
      </c>
      <c r="E131" s="14" t="n">
        <v>64</v>
      </c>
      <c r="F131" s="10" t="n">
        <f aca="false">E131/'Correction factors'!$B$10</f>
        <v>5.1616</v>
      </c>
      <c r="G131" s="11" t="n">
        <v>356</v>
      </c>
    </row>
    <row r="132" customFormat="false" ht="15" hidden="false" customHeight="false" outlineLevel="0" collapsed="false">
      <c r="A132" s="10" t="n">
        <v>28.2047212123871</v>
      </c>
      <c r="B132" s="11" t="n">
        <v>260</v>
      </c>
      <c r="C132" s="12" t="n">
        <f aca="false">B132*'Correction factors'!$B$7</f>
        <v>1258.14</v>
      </c>
      <c r="D132" s="13" t="n">
        <v>7.050102</v>
      </c>
      <c r="E132" s="14" t="n">
        <v>72</v>
      </c>
      <c r="F132" s="10" t="n">
        <f aca="false">E132/'Correction factors'!$B$10</f>
        <v>5.8068</v>
      </c>
      <c r="G132" s="11" t="n">
        <v>354</v>
      </c>
    </row>
    <row r="133" customFormat="false" ht="15" hidden="false" customHeight="false" outlineLevel="0" collapsed="false">
      <c r="A133" s="10" t="n">
        <v>28.6379818916321</v>
      </c>
      <c r="B133" s="11" t="n">
        <v>260</v>
      </c>
      <c r="C133" s="12" t="n">
        <f aca="false">B133*'Correction factors'!$B$7</f>
        <v>1258.14</v>
      </c>
      <c r="D133" s="13" t="n">
        <v>7.010816</v>
      </c>
      <c r="E133" s="14" t="n">
        <v>80</v>
      </c>
      <c r="F133" s="10" t="n">
        <f aca="false">E133/'Correction factors'!$B$10</f>
        <v>6.452</v>
      </c>
      <c r="G133" s="11" t="n">
        <v>340</v>
      </c>
    </row>
    <row r="134" customFormat="false" ht="15" hidden="false" customHeight="false" outlineLevel="0" collapsed="false">
      <c r="A134" s="10" t="n">
        <v>28.6379818916321</v>
      </c>
      <c r="B134" s="11" t="n">
        <v>260</v>
      </c>
      <c r="C134" s="12" t="n">
        <f aca="false">B134*'Correction factors'!$B$7</f>
        <v>1258.14</v>
      </c>
      <c r="D134" s="13" t="n">
        <v>6.961708</v>
      </c>
      <c r="E134" s="14" t="n">
        <v>72</v>
      </c>
      <c r="F134" s="10" t="n">
        <f aca="false">E134/'Correction factors'!$B$10</f>
        <v>5.8068</v>
      </c>
      <c r="G134" s="11" t="n">
        <v>340</v>
      </c>
    </row>
    <row r="135" customFormat="false" ht="15" hidden="false" customHeight="false" outlineLevel="0" collapsed="false">
      <c r="A135" s="10" t="n">
        <v>29.0691390037537</v>
      </c>
      <c r="B135" s="11" t="n">
        <v>260</v>
      </c>
      <c r="C135" s="12" t="n">
        <f aca="false">B135*'Correction factors'!$B$7</f>
        <v>1258.14</v>
      </c>
      <c r="D135" s="13" t="n">
        <v>6.922421</v>
      </c>
      <c r="E135" s="14" t="n">
        <v>80</v>
      </c>
      <c r="F135" s="10" t="n">
        <f aca="false">E135/'Correction factors'!$B$10</f>
        <v>6.452</v>
      </c>
      <c r="G135" s="11" t="n">
        <v>337</v>
      </c>
    </row>
    <row r="136" customFormat="false" ht="15" hidden="false" customHeight="false" outlineLevel="0" collapsed="false">
      <c r="A136" s="10" t="n">
        <v>29.0691390037537</v>
      </c>
      <c r="B136" s="11" t="n">
        <v>240</v>
      </c>
      <c r="C136" s="12" t="n">
        <f aca="false">B136*'Correction factors'!$B$7</f>
        <v>1161.36</v>
      </c>
      <c r="D136" s="13" t="n">
        <v>6.892957</v>
      </c>
      <c r="E136" s="14" t="n">
        <v>72</v>
      </c>
      <c r="F136" s="10" t="n">
        <f aca="false">E136/'Correction factors'!$B$10</f>
        <v>5.8068</v>
      </c>
      <c r="G136" s="11" t="n">
        <v>337</v>
      </c>
    </row>
    <row r="137" customFormat="false" ht="15" hidden="false" customHeight="false" outlineLevel="0" collapsed="false">
      <c r="A137" s="10" t="n">
        <v>29.5356094837189</v>
      </c>
      <c r="B137" s="11" t="n">
        <v>240</v>
      </c>
      <c r="C137" s="12" t="n">
        <f aca="false">B137*'Correction factors'!$B$7</f>
        <v>1161.36</v>
      </c>
      <c r="D137" s="13" t="n">
        <v>6.863492</v>
      </c>
      <c r="E137" s="14" t="n">
        <v>72</v>
      </c>
      <c r="F137" s="10" t="n">
        <f aca="false">E137/'Correction factors'!$B$10</f>
        <v>5.8068</v>
      </c>
      <c r="G137" s="11" t="n">
        <v>337</v>
      </c>
    </row>
    <row r="138" customFormat="false" ht="15" hidden="false" customHeight="false" outlineLevel="0" collapsed="false">
      <c r="A138" s="10" t="n">
        <v>29.5356094837189</v>
      </c>
      <c r="B138" s="11" t="n">
        <v>220</v>
      </c>
      <c r="C138" s="12" t="n">
        <f aca="false">B138*'Correction factors'!$B$7</f>
        <v>1064.58</v>
      </c>
      <c r="D138" s="13" t="n">
        <v>6.824206</v>
      </c>
      <c r="E138" s="14" t="n">
        <v>72</v>
      </c>
      <c r="F138" s="10" t="n">
        <f aca="false">E138/'Correction factors'!$B$10</f>
        <v>5.8068</v>
      </c>
      <c r="G138" s="11" t="n">
        <v>337</v>
      </c>
    </row>
    <row r="139" customFormat="false" ht="15" hidden="false" customHeight="false" outlineLevel="0" collapsed="false">
      <c r="A139" s="10" t="n">
        <v>29.96653008461</v>
      </c>
      <c r="B139" s="11" t="n">
        <v>220</v>
      </c>
      <c r="C139" s="12" t="n">
        <f aca="false">B139*'Correction factors'!$B$7</f>
        <v>1064.58</v>
      </c>
      <c r="D139" s="13" t="n">
        <v>6.804563</v>
      </c>
      <c r="E139" s="14" t="n">
        <v>72</v>
      </c>
      <c r="F139" s="10" t="n">
        <f aca="false">E139/'Correction factors'!$B$10</f>
        <v>5.8068</v>
      </c>
      <c r="G139" s="11" t="n">
        <v>337</v>
      </c>
    </row>
    <row r="140" customFormat="false" ht="15" hidden="false" customHeight="false" outlineLevel="0" collapsed="false">
      <c r="A140" s="10" t="n">
        <v>29.96653008461</v>
      </c>
      <c r="B140" s="11" t="n">
        <v>220</v>
      </c>
      <c r="C140" s="12" t="n">
        <f aca="false">B140*'Correction factors'!$B$7</f>
        <v>1064.58</v>
      </c>
      <c r="D140" s="13" t="n">
        <v>6.775098</v>
      </c>
      <c r="E140" s="14" t="n">
        <v>72</v>
      </c>
      <c r="F140" s="10" t="n">
        <f aca="false">E140/'Correction factors'!$B$10</f>
        <v>5.8068</v>
      </c>
      <c r="G140" s="11" t="n">
        <v>337</v>
      </c>
    </row>
    <row r="141" customFormat="false" ht="15" hidden="false" customHeight="false" outlineLevel="0" collapsed="false">
      <c r="A141" s="10" t="n">
        <v>30.3938128948212</v>
      </c>
      <c r="B141" s="11" t="n">
        <v>240</v>
      </c>
      <c r="C141" s="12" t="n">
        <f aca="false">B141*'Correction factors'!$B$7</f>
        <v>1161.36</v>
      </c>
      <c r="D141" s="13" t="n">
        <v>6.755455</v>
      </c>
      <c r="E141" s="14" t="n">
        <v>72</v>
      </c>
      <c r="F141" s="10" t="n">
        <f aca="false">E141/'Correction factors'!$B$10</f>
        <v>5.8068</v>
      </c>
      <c r="G141" s="11" t="n">
        <v>339</v>
      </c>
    </row>
    <row r="142" customFormat="false" ht="15" hidden="false" customHeight="false" outlineLevel="0" collapsed="false">
      <c r="A142" s="10" t="n">
        <v>30.3938128948212</v>
      </c>
      <c r="B142" s="11" t="n">
        <v>220</v>
      </c>
      <c r="C142" s="12" t="n">
        <f aca="false">B142*'Correction factors'!$B$7</f>
        <v>1064.58</v>
      </c>
      <c r="D142" s="13" t="n">
        <v>6.72599</v>
      </c>
      <c r="E142" s="14" t="n">
        <v>64</v>
      </c>
      <c r="F142" s="10" t="n">
        <f aca="false">E142/'Correction factors'!$B$10</f>
        <v>5.1616</v>
      </c>
      <c r="G142" s="11" t="n">
        <v>336</v>
      </c>
    </row>
    <row r="143" customFormat="false" ht="15" hidden="false" customHeight="false" outlineLevel="0" collapsed="false">
      <c r="A143" s="10" t="n">
        <v>30.8456501960754</v>
      </c>
      <c r="B143" s="11" t="n">
        <v>220</v>
      </c>
      <c r="C143" s="12" t="n">
        <f aca="false">B143*'Correction factors'!$B$7</f>
        <v>1064.58</v>
      </c>
      <c r="D143" s="13" t="n">
        <v>6.716168</v>
      </c>
      <c r="E143" s="14" t="n">
        <v>72</v>
      </c>
      <c r="F143" s="10" t="n">
        <f aca="false">E143/'Correction factors'!$B$10</f>
        <v>5.8068</v>
      </c>
      <c r="G143" s="11" t="n">
        <v>335</v>
      </c>
    </row>
    <row r="144" customFormat="false" ht="15" hidden="false" customHeight="false" outlineLevel="0" collapsed="false">
      <c r="A144" s="10" t="n">
        <v>30.8456501960754</v>
      </c>
      <c r="B144" s="11" t="n">
        <v>220</v>
      </c>
      <c r="C144" s="12" t="n">
        <f aca="false">B144*'Correction factors'!$B$7</f>
        <v>1064.58</v>
      </c>
      <c r="D144" s="13" t="n">
        <v>6.676882</v>
      </c>
      <c r="E144" s="14" t="n">
        <v>72</v>
      </c>
      <c r="F144" s="10" t="n">
        <f aca="false">E144/'Correction factors'!$B$10</f>
        <v>5.8068</v>
      </c>
      <c r="G144" s="11" t="n">
        <v>335</v>
      </c>
    </row>
    <row r="145" customFormat="false" ht="15" hidden="false" customHeight="false" outlineLevel="0" collapsed="false">
      <c r="A145" s="10" t="n">
        <v>30.8456501960754</v>
      </c>
      <c r="B145" s="11" t="n">
        <v>220</v>
      </c>
      <c r="C145" s="12" t="n">
        <f aca="false">B145*'Correction factors'!$B$7</f>
        <v>1064.58</v>
      </c>
      <c r="D145" s="13" t="n">
        <v>6.66706</v>
      </c>
      <c r="E145" s="14" t="n">
        <v>64</v>
      </c>
      <c r="F145" s="10" t="n">
        <f aca="false">E145/'Correction factors'!$B$10</f>
        <v>5.1616</v>
      </c>
      <c r="G145" s="11" t="n">
        <v>335</v>
      </c>
    </row>
    <row r="146" customFormat="false" ht="15" hidden="false" customHeight="false" outlineLevel="0" collapsed="false">
      <c r="A146" s="10" t="n">
        <v>31.3215522766113</v>
      </c>
      <c r="B146" s="11" t="n">
        <v>220</v>
      </c>
      <c r="C146" s="12" t="n">
        <f aca="false">B146*'Correction factors'!$B$7</f>
        <v>1064.58</v>
      </c>
      <c r="D146" s="13" t="n">
        <v>6.647417</v>
      </c>
      <c r="E146" s="14" t="n">
        <v>72</v>
      </c>
      <c r="F146" s="10" t="n">
        <f aca="false">E146/'Correction factors'!$B$10</f>
        <v>5.8068</v>
      </c>
      <c r="G146" s="11" t="n">
        <v>335</v>
      </c>
    </row>
    <row r="147" customFormat="false" ht="15" hidden="false" customHeight="false" outlineLevel="0" collapsed="false">
      <c r="A147" s="10" t="n">
        <v>31.3215522766113</v>
      </c>
      <c r="B147" s="11" t="n">
        <v>220</v>
      </c>
      <c r="C147" s="12" t="n">
        <f aca="false">B147*'Correction factors'!$B$7</f>
        <v>1064.58</v>
      </c>
      <c r="D147" s="13" t="n">
        <v>6.627774</v>
      </c>
      <c r="E147" s="14" t="n">
        <v>72</v>
      </c>
      <c r="F147" s="10" t="n">
        <f aca="false">E147/'Correction factors'!$B$10</f>
        <v>5.8068</v>
      </c>
      <c r="G147" s="11" t="n">
        <v>335</v>
      </c>
    </row>
    <row r="148" customFormat="false" ht="15" hidden="false" customHeight="false" outlineLevel="0" collapsed="false">
      <c r="A148" s="10" t="n">
        <v>31.7807338237763</v>
      </c>
      <c r="B148" s="11" t="n">
        <v>220</v>
      </c>
      <c r="C148" s="12" t="n">
        <f aca="false">B148*'Correction factors'!$B$7</f>
        <v>1064.58</v>
      </c>
      <c r="D148" s="13" t="n">
        <v>6.598309</v>
      </c>
      <c r="E148" s="14" t="n">
        <v>64</v>
      </c>
      <c r="F148" s="10" t="n">
        <f aca="false">E148/'Correction factors'!$B$10</f>
        <v>5.1616</v>
      </c>
      <c r="G148" s="11" t="n">
        <v>334</v>
      </c>
    </row>
    <row r="149" customFormat="false" ht="15" hidden="false" customHeight="false" outlineLevel="0" collapsed="false">
      <c r="A149" s="10" t="n">
        <v>31.7807338237763</v>
      </c>
      <c r="B149" s="11" t="n">
        <v>220</v>
      </c>
      <c r="C149" s="12" t="n">
        <f aca="false">B149*'Correction factors'!$B$7</f>
        <v>1064.58</v>
      </c>
      <c r="D149" s="13" t="n">
        <v>6.578666</v>
      </c>
      <c r="E149" s="14" t="n">
        <v>72</v>
      </c>
      <c r="F149" s="10" t="n">
        <f aca="false">E149/'Correction factors'!$B$10</f>
        <v>5.8068</v>
      </c>
      <c r="G149" s="11" t="n">
        <v>334</v>
      </c>
    </row>
    <row r="150" customFormat="false" ht="15" hidden="false" customHeight="false" outlineLevel="0" collapsed="false">
      <c r="A150" s="10" t="n">
        <v>32.2357230186462</v>
      </c>
      <c r="B150" s="11" t="n">
        <v>220</v>
      </c>
      <c r="C150" s="12" t="n">
        <f aca="false">B150*'Correction factors'!$B$7</f>
        <v>1064.58</v>
      </c>
      <c r="D150" s="13" t="n">
        <v>6.559023</v>
      </c>
      <c r="E150" s="14" t="n">
        <v>64</v>
      </c>
      <c r="F150" s="10" t="n">
        <f aca="false">E150/'Correction factors'!$B$10</f>
        <v>5.1616</v>
      </c>
      <c r="G150" s="11" t="n">
        <v>332</v>
      </c>
    </row>
    <row r="151" customFormat="false" ht="15" hidden="false" customHeight="false" outlineLevel="0" collapsed="false">
      <c r="A151" s="10" t="n">
        <v>32.2357230186462</v>
      </c>
      <c r="B151" s="11" t="n">
        <v>220</v>
      </c>
      <c r="C151" s="12" t="n">
        <f aca="false">B151*'Correction factors'!$B$7</f>
        <v>1064.58</v>
      </c>
      <c r="D151" s="13" t="n">
        <v>6.53938</v>
      </c>
      <c r="E151" s="14" t="n">
        <v>72</v>
      </c>
      <c r="F151" s="10" t="n">
        <f aca="false">E151/'Correction factors'!$B$10</f>
        <v>5.8068</v>
      </c>
      <c r="G151" s="11" t="n">
        <v>332</v>
      </c>
    </row>
    <row r="152" customFormat="false" ht="15" hidden="false" customHeight="false" outlineLevel="0" collapsed="false">
      <c r="A152" s="10" t="n">
        <v>32.685622215271</v>
      </c>
      <c r="B152" s="11" t="n">
        <v>220</v>
      </c>
      <c r="C152" s="12" t="n">
        <f aca="false">B152*'Correction factors'!$B$7</f>
        <v>1064.58</v>
      </c>
      <c r="D152" s="13" t="n">
        <v>6.529558</v>
      </c>
      <c r="E152" s="14" t="n">
        <v>64</v>
      </c>
      <c r="F152" s="10" t="n">
        <f aca="false">E152/'Correction factors'!$B$10</f>
        <v>5.1616</v>
      </c>
      <c r="G152" s="11" t="n">
        <v>332</v>
      </c>
    </row>
    <row r="153" customFormat="false" ht="15" hidden="false" customHeight="false" outlineLevel="0" collapsed="false">
      <c r="A153" s="10" t="n">
        <v>32.685622215271</v>
      </c>
      <c r="B153" s="11" t="n">
        <v>200</v>
      </c>
      <c r="C153" s="12" t="n">
        <f aca="false">B153*'Correction factors'!$B$7</f>
        <v>967.8</v>
      </c>
      <c r="D153" s="13" t="n">
        <v>6.509915</v>
      </c>
      <c r="E153" s="14" t="n">
        <v>64</v>
      </c>
      <c r="F153" s="10" t="n">
        <f aca="false">E153/'Correction factors'!$B$10</f>
        <v>5.1616</v>
      </c>
      <c r="G153" s="11" t="n">
        <v>332</v>
      </c>
    </row>
    <row r="154" customFormat="false" ht="15" hidden="false" customHeight="false" outlineLevel="0" collapsed="false">
      <c r="A154" s="10" t="n">
        <v>32.685622215271</v>
      </c>
      <c r="B154" s="11" t="n">
        <v>200</v>
      </c>
      <c r="C154" s="12" t="n">
        <f aca="false">B154*'Correction factors'!$B$7</f>
        <v>967.8</v>
      </c>
      <c r="D154" s="13" t="n">
        <v>6.500093</v>
      </c>
      <c r="E154" s="14" t="n">
        <v>64</v>
      </c>
      <c r="F154" s="10" t="n">
        <f aca="false">E154/'Correction factors'!$B$10</f>
        <v>5.1616</v>
      </c>
      <c r="G154" s="11" t="n">
        <v>332</v>
      </c>
    </row>
    <row r="155" customFormat="false" ht="15" hidden="false" customHeight="false" outlineLevel="0" collapsed="false">
      <c r="A155" s="10" t="n">
        <v>33.1988925933838</v>
      </c>
      <c r="B155" s="11" t="n">
        <v>200</v>
      </c>
      <c r="C155" s="12" t="n">
        <f aca="false">B155*'Correction factors'!$B$7</f>
        <v>967.8</v>
      </c>
      <c r="D155" s="13" t="n">
        <v>6.48045</v>
      </c>
      <c r="E155" s="14" t="n">
        <v>64</v>
      </c>
      <c r="F155" s="10" t="n">
        <f aca="false">E155/'Correction factors'!$B$10</f>
        <v>5.1616</v>
      </c>
      <c r="G155" s="11" t="n">
        <v>332</v>
      </c>
    </row>
    <row r="156" customFormat="false" ht="15" hidden="false" customHeight="false" outlineLevel="0" collapsed="false">
      <c r="A156" s="10" t="n">
        <v>33.1988925933838</v>
      </c>
      <c r="B156" s="11" t="n">
        <v>200</v>
      </c>
      <c r="C156" s="12" t="n">
        <f aca="false">B156*'Correction factors'!$B$7</f>
        <v>967.8</v>
      </c>
      <c r="D156" s="13" t="n">
        <v>6.470628</v>
      </c>
      <c r="E156" s="14" t="n">
        <v>56</v>
      </c>
      <c r="F156" s="10" t="n">
        <f aca="false">E156/'Correction factors'!$B$10</f>
        <v>4.5164</v>
      </c>
      <c r="G156" s="11" t="n">
        <v>332</v>
      </c>
    </row>
    <row r="157" customFormat="false" ht="15" hidden="false" customHeight="false" outlineLevel="0" collapsed="false">
      <c r="A157" s="10" t="n">
        <v>33.6794412136078</v>
      </c>
      <c r="B157" s="11" t="n">
        <v>200</v>
      </c>
      <c r="C157" s="12" t="n">
        <f aca="false">B157*'Correction factors'!$B$7</f>
        <v>967.8</v>
      </c>
      <c r="D157" s="13" t="n">
        <v>6.460807</v>
      </c>
      <c r="E157" s="14" t="n">
        <v>64</v>
      </c>
      <c r="F157" s="10" t="n">
        <f aca="false">E157/'Correction factors'!$B$10</f>
        <v>5.1616</v>
      </c>
      <c r="G157" s="11" t="n">
        <v>333</v>
      </c>
    </row>
    <row r="158" customFormat="false" ht="15" hidden="false" customHeight="false" outlineLevel="0" collapsed="false">
      <c r="A158" s="10" t="n">
        <v>33.6794412136078</v>
      </c>
      <c r="B158" s="11" t="n">
        <v>180</v>
      </c>
      <c r="C158" s="12" t="n">
        <f aca="false">B158*'Correction factors'!$B$7</f>
        <v>871.02</v>
      </c>
      <c r="D158" s="13" t="n">
        <v>6.441164</v>
      </c>
      <c r="E158" s="14" t="n">
        <v>64</v>
      </c>
      <c r="F158" s="10" t="n">
        <f aca="false">E158/'Correction factors'!$B$10</f>
        <v>5.1616</v>
      </c>
      <c r="G158" s="11" t="n">
        <v>332</v>
      </c>
    </row>
    <row r="159" customFormat="false" ht="15" hidden="false" customHeight="false" outlineLevel="0" collapsed="false">
      <c r="A159" s="10" t="n">
        <v>34.1351096630096</v>
      </c>
      <c r="B159" s="11" t="n">
        <v>180</v>
      </c>
      <c r="C159" s="12" t="n">
        <f aca="false">B159*'Correction factors'!$B$7</f>
        <v>871.02</v>
      </c>
      <c r="D159" s="13" t="n">
        <v>6.401877</v>
      </c>
      <c r="E159" s="14" t="n">
        <v>56</v>
      </c>
      <c r="F159" s="10" t="n">
        <f aca="false">E159/'Correction factors'!$B$10</f>
        <v>4.5164</v>
      </c>
      <c r="G159" s="11" t="n">
        <v>337</v>
      </c>
    </row>
    <row r="160" customFormat="false" ht="15" hidden="false" customHeight="false" outlineLevel="0" collapsed="false">
      <c r="A160" s="10" t="n">
        <v>34.1351096630096</v>
      </c>
      <c r="B160" s="11" t="n">
        <v>180</v>
      </c>
      <c r="C160" s="12" t="n">
        <f aca="false">B160*'Correction factors'!$B$7</f>
        <v>871.02</v>
      </c>
      <c r="D160" s="13" t="n">
        <v>6.392056</v>
      </c>
      <c r="E160" s="14" t="n">
        <v>64</v>
      </c>
      <c r="F160" s="10" t="n">
        <f aca="false">E160/'Correction factors'!$B$10</f>
        <v>5.1616</v>
      </c>
      <c r="G160" s="11" t="n">
        <v>337</v>
      </c>
    </row>
    <row r="161" customFormat="false" ht="15" hidden="false" customHeight="false" outlineLevel="0" collapsed="false">
      <c r="A161" s="10" t="n">
        <v>34.1351096630096</v>
      </c>
      <c r="B161" s="11" t="n">
        <v>200</v>
      </c>
      <c r="C161" s="12" t="n">
        <f aca="false">B161*'Correction factors'!$B$7</f>
        <v>967.8</v>
      </c>
      <c r="D161" s="13" t="n">
        <v>6.382234</v>
      </c>
      <c r="E161" s="14" t="n">
        <v>64</v>
      </c>
      <c r="F161" s="10" t="n">
        <f aca="false">E161/'Correction factors'!$B$10</f>
        <v>5.1616</v>
      </c>
      <c r="G161" s="11" t="n">
        <v>337</v>
      </c>
    </row>
    <row r="162" customFormat="false" ht="15" hidden="false" customHeight="false" outlineLevel="0" collapsed="false">
      <c r="A162" s="10" t="n">
        <v>34.633367061615</v>
      </c>
      <c r="B162" s="11" t="n">
        <v>180</v>
      </c>
      <c r="C162" s="12" t="n">
        <f aca="false">B162*'Correction factors'!$B$7</f>
        <v>871.02</v>
      </c>
      <c r="D162" s="13" t="n">
        <v>6.362591</v>
      </c>
      <c r="E162" s="14" t="n">
        <v>64</v>
      </c>
      <c r="F162" s="10" t="n">
        <f aca="false">E162/'Correction factors'!$B$10</f>
        <v>5.1616</v>
      </c>
      <c r="G162" s="11" t="n">
        <v>336</v>
      </c>
    </row>
    <row r="163" customFormat="false" ht="15" hidden="false" customHeight="false" outlineLevel="0" collapsed="false">
      <c r="A163" s="10" t="n">
        <v>34.633367061615</v>
      </c>
      <c r="B163" s="11" t="n">
        <v>180</v>
      </c>
      <c r="C163" s="12" t="n">
        <f aca="false">B163*'Correction factors'!$B$7</f>
        <v>871.02</v>
      </c>
      <c r="D163" s="13" t="n">
        <v>6.362591</v>
      </c>
      <c r="E163" s="14" t="n">
        <v>56</v>
      </c>
      <c r="F163" s="10" t="n">
        <f aca="false">E163/'Correction factors'!$B$10</f>
        <v>4.5164</v>
      </c>
      <c r="G163" s="11" t="n">
        <v>336</v>
      </c>
    </row>
    <row r="164" customFormat="false" ht="15" hidden="false" customHeight="false" outlineLevel="0" collapsed="false">
      <c r="A164" s="10" t="n">
        <v>35.082019329071</v>
      </c>
      <c r="B164" s="11" t="n">
        <v>180</v>
      </c>
      <c r="C164" s="12" t="n">
        <f aca="false">B164*'Correction factors'!$B$7</f>
        <v>871.02</v>
      </c>
      <c r="D164" s="13" t="n">
        <v>6.333126</v>
      </c>
      <c r="E164" s="14" t="n">
        <v>64</v>
      </c>
      <c r="F164" s="10" t="n">
        <f aca="false">E164/'Correction factors'!$B$10</f>
        <v>5.1616</v>
      </c>
      <c r="G164" s="11" t="n">
        <v>337</v>
      </c>
    </row>
    <row r="165" customFormat="false" ht="15" hidden="false" customHeight="false" outlineLevel="0" collapsed="false">
      <c r="A165" s="10" t="n">
        <v>35.082019329071</v>
      </c>
      <c r="B165" s="11" t="n">
        <v>180</v>
      </c>
      <c r="C165" s="12" t="n">
        <f aca="false">B165*'Correction factors'!$B$7</f>
        <v>871.02</v>
      </c>
      <c r="D165" s="13" t="n">
        <v>6.313483</v>
      </c>
      <c r="E165" s="14" t="n">
        <v>64</v>
      </c>
      <c r="F165" s="10" t="n">
        <f aca="false">E165/'Correction factors'!$B$10</f>
        <v>5.1616</v>
      </c>
      <c r="G165" s="11" t="n">
        <v>337</v>
      </c>
    </row>
    <row r="166" customFormat="false" ht="15" hidden="false" customHeight="false" outlineLevel="0" collapsed="false">
      <c r="A166" s="10" t="n">
        <v>35.5435960292816</v>
      </c>
      <c r="B166" s="11" t="n">
        <v>180</v>
      </c>
      <c r="C166" s="12" t="n">
        <f aca="false">B166*'Correction factors'!$B$7</f>
        <v>871.02</v>
      </c>
      <c r="D166" s="13" t="n">
        <v>6.303661</v>
      </c>
      <c r="E166" s="14" t="n">
        <v>56</v>
      </c>
      <c r="F166" s="10" t="n">
        <f aca="false">E166/'Correction factors'!$B$10</f>
        <v>4.5164</v>
      </c>
      <c r="G166" s="11" t="n">
        <v>339</v>
      </c>
    </row>
    <row r="167" customFormat="false" ht="15" hidden="false" customHeight="false" outlineLevel="0" collapsed="false">
      <c r="A167" s="10" t="n">
        <v>35.5435960292816</v>
      </c>
      <c r="B167" s="11" t="n">
        <v>180</v>
      </c>
      <c r="C167" s="12" t="n">
        <f aca="false">B167*'Correction factors'!$B$7</f>
        <v>871.02</v>
      </c>
      <c r="D167" s="13" t="n">
        <v>6.274197</v>
      </c>
      <c r="E167" s="14" t="n">
        <v>64</v>
      </c>
      <c r="F167" s="10" t="n">
        <f aca="false">E167/'Correction factors'!$B$10</f>
        <v>5.1616</v>
      </c>
      <c r="G167" s="11" t="n">
        <v>340</v>
      </c>
    </row>
    <row r="168" customFormat="false" ht="15" hidden="false" customHeight="false" outlineLevel="0" collapsed="false">
      <c r="A168" s="10" t="n">
        <v>36.0108926296234</v>
      </c>
      <c r="B168" s="11" t="n">
        <v>180</v>
      </c>
      <c r="C168" s="12" t="n">
        <f aca="false">B168*'Correction factors'!$B$7</f>
        <v>871.02</v>
      </c>
      <c r="D168" s="13" t="n">
        <v>6.254553</v>
      </c>
      <c r="E168" s="14" t="n">
        <v>56</v>
      </c>
      <c r="F168" s="10" t="n">
        <f aca="false">E168/'Correction factors'!$B$10</f>
        <v>4.5164</v>
      </c>
      <c r="G168" s="11" t="n">
        <v>341</v>
      </c>
    </row>
    <row r="169" customFormat="false" ht="15" hidden="false" customHeight="false" outlineLevel="0" collapsed="false">
      <c r="A169" s="10" t="n">
        <v>36.0108926296234</v>
      </c>
      <c r="B169" s="11" t="n">
        <v>160</v>
      </c>
      <c r="C169" s="12" t="n">
        <f aca="false">B169*'Correction factors'!$B$7</f>
        <v>774.24</v>
      </c>
      <c r="D169" s="13" t="n">
        <v>6.244732</v>
      </c>
      <c r="E169" s="14" t="n">
        <v>64</v>
      </c>
      <c r="F169" s="10" t="n">
        <f aca="false">E169/'Correction factors'!$B$10</f>
        <v>5.1616</v>
      </c>
      <c r="G169" s="11" t="n">
        <v>341</v>
      </c>
    </row>
    <row r="170" customFormat="false" ht="15" hidden="false" customHeight="false" outlineLevel="0" collapsed="false">
      <c r="A170" s="10" t="n">
        <v>36.0108926296234</v>
      </c>
      <c r="B170" s="11" t="n">
        <v>180</v>
      </c>
      <c r="C170" s="12" t="n">
        <f aca="false">B170*'Correction factors'!$B$7</f>
        <v>871.02</v>
      </c>
      <c r="D170" s="13" t="n">
        <v>6.23491</v>
      </c>
      <c r="E170" s="14" t="n">
        <v>64</v>
      </c>
      <c r="F170" s="10" t="n">
        <f aca="false">E170/'Correction factors'!$B$10</f>
        <v>5.1616</v>
      </c>
      <c r="G170" s="11" t="n">
        <v>344</v>
      </c>
    </row>
    <row r="171" customFormat="false" ht="15" hidden="false" customHeight="false" outlineLevel="0" collapsed="false">
      <c r="A171" s="10" t="n">
        <v>36.5041484832764</v>
      </c>
      <c r="B171" s="11" t="n">
        <v>180</v>
      </c>
      <c r="C171" s="12" t="n">
        <f aca="false">B171*'Correction factors'!$B$7</f>
        <v>871.02</v>
      </c>
      <c r="D171" s="13" t="n">
        <v>6.215267</v>
      </c>
      <c r="E171" s="14" t="n">
        <v>56</v>
      </c>
      <c r="F171" s="10" t="n">
        <f aca="false">E171/'Correction factors'!$B$10</f>
        <v>4.5164</v>
      </c>
      <c r="G171" s="11" t="n">
        <v>345</v>
      </c>
    </row>
    <row r="172" customFormat="false" ht="15" hidden="false" customHeight="false" outlineLevel="0" collapsed="false">
      <c r="A172" s="10" t="n">
        <v>36.5041484832764</v>
      </c>
      <c r="B172" s="11" t="n">
        <v>160</v>
      </c>
      <c r="C172" s="12" t="n">
        <f aca="false">B172*'Correction factors'!$B$7</f>
        <v>774.24</v>
      </c>
      <c r="D172" s="13" t="n">
        <v>6.195624</v>
      </c>
      <c r="E172" s="14" t="n">
        <v>64</v>
      </c>
      <c r="F172" s="10" t="n">
        <f aca="false">E172/'Correction factors'!$B$10</f>
        <v>5.1616</v>
      </c>
      <c r="G172" s="11" t="n">
        <v>345</v>
      </c>
    </row>
    <row r="173" customFormat="false" ht="15" hidden="false" customHeight="false" outlineLevel="0" collapsed="false">
      <c r="A173" s="10" t="n">
        <v>36.973929643631</v>
      </c>
      <c r="B173" s="11" t="n">
        <v>180</v>
      </c>
      <c r="C173" s="12" t="n">
        <f aca="false">B173*'Correction factors'!$B$7</f>
        <v>871.02</v>
      </c>
      <c r="D173" s="13" t="n">
        <v>6.185802</v>
      </c>
      <c r="E173" s="14" t="n">
        <v>56</v>
      </c>
      <c r="F173" s="10" t="n">
        <f aca="false">E173/'Correction factors'!$B$10</f>
        <v>4.5164</v>
      </c>
      <c r="G173" s="11" t="n">
        <v>349</v>
      </c>
    </row>
    <row r="174" customFormat="false" ht="15" hidden="false" customHeight="false" outlineLevel="0" collapsed="false">
      <c r="A174" s="10" t="n">
        <v>36.973929643631</v>
      </c>
      <c r="B174" s="11" t="n">
        <v>160</v>
      </c>
      <c r="C174" s="12" t="n">
        <f aca="false">B174*'Correction factors'!$B$7</f>
        <v>774.24</v>
      </c>
      <c r="D174" s="13" t="n">
        <v>6.166159</v>
      </c>
      <c r="E174" s="14" t="n">
        <v>64</v>
      </c>
      <c r="F174" s="10" t="n">
        <f aca="false">E174/'Correction factors'!$B$10</f>
        <v>5.1616</v>
      </c>
      <c r="G174" s="11" t="n">
        <v>349</v>
      </c>
    </row>
    <row r="175" customFormat="false" ht="15" hidden="false" customHeight="false" outlineLevel="0" collapsed="false">
      <c r="A175" s="10" t="n">
        <v>37.4318559169769</v>
      </c>
      <c r="B175" s="11" t="n">
        <v>160</v>
      </c>
      <c r="C175" s="12" t="n">
        <f aca="false">B175*'Correction factors'!$B$7</f>
        <v>774.24</v>
      </c>
      <c r="D175" s="13" t="n">
        <v>6.146516</v>
      </c>
      <c r="E175" s="14" t="n">
        <v>56</v>
      </c>
      <c r="F175" s="10" t="n">
        <f aca="false">E175/'Correction factors'!$B$10</f>
        <v>4.5164</v>
      </c>
      <c r="G175" s="11" t="n">
        <v>350</v>
      </c>
    </row>
    <row r="176" customFormat="false" ht="15" hidden="false" customHeight="false" outlineLevel="0" collapsed="false">
      <c r="A176" s="10" t="n">
        <v>37.4318559169769</v>
      </c>
      <c r="B176" s="11" t="n">
        <v>180</v>
      </c>
      <c r="C176" s="12" t="n">
        <f aca="false">B176*'Correction factors'!$B$7</f>
        <v>871.02</v>
      </c>
      <c r="D176" s="13" t="n">
        <v>6.126873</v>
      </c>
      <c r="E176" s="14" t="n">
        <v>64</v>
      </c>
      <c r="F176" s="10" t="n">
        <f aca="false">E176/'Correction factors'!$B$10</f>
        <v>5.1616</v>
      </c>
      <c r="G176" s="11" t="n">
        <v>350</v>
      </c>
    </row>
    <row r="177" customFormat="false" ht="15" hidden="false" customHeight="false" outlineLevel="0" collapsed="false">
      <c r="A177" s="10" t="n">
        <v>37.4318559169769</v>
      </c>
      <c r="B177" s="11" t="n">
        <v>160</v>
      </c>
      <c r="C177" s="12" t="n">
        <f aca="false">B177*'Correction factors'!$B$7</f>
        <v>774.24</v>
      </c>
      <c r="D177" s="13" t="n">
        <v>6.10723</v>
      </c>
      <c r="E177" s="14" t="n">
        <v>56</v>
      </c>
      <c r="F177" s="10" t="n">
        <f aca="false">E177/'Correction factors'!$B$10</f>
        <v>4.5164</v>
      </c>
      <c r="G177" s="11" t="n">
        <v>350</v>
      </c>
    </row>
    <row r="178" customFormat="false" ht="15" hidden="false" customHeight="false" outlineLevel="0" collapsed="false">
      <c r="A178" s="10" t="n">
        <v>37.9891037940979</v>
      </c>
      <c r="B178" s="11" t="n">
        <v>160</v>
      </c>
      <c r="C178" s="12" t="n">
        <f aca="false">B178*'Correction factors'!$B$7</f>
        <v>774.24</v>
      </c>
      <c r="D178" s="13" t="n">
        <v>6.077765</v>
      </c>
      <c r="E178" s="14" t="n">
        <v>64</v>
      </c>
      <c r="F178" s="10" t="n">
        <f aca="false">E178/'Correction factors'!$B$10</f>
        <v>5.1616</v>
      </c>
      <c r="G178" s="11" t="n">
        <v>352</v>
      </c>
    </row>
    <row r="179" customFormat="false" ht="15" hidden="false" customHeight="false" outlineLevel="0" collapsed="false">
      <c r="A179" s="10" t="n">
        <v>37.9891037940979</v>
      </c>
      <c r="B179" s="11" t="n">
        <v>160</v>
      </c>
      <c r="C179" s="12" t="n">
        <f aca="false">B179*'Correction factors'!$B$7</f>
        <v>774.24</v>
      </c>
      <c r="D179" s="13" t="n">
        <v>6.067943</v>
      </c>
      <c r="E179" s="14" t="n">
        <v>56</v>
      </c>
      <c r="F179" s="10" t="n">
        <f aca="false">E179/'Correction factors'!$B$10</f>
        <v>4.5164</v>
      </c>
      <c r="G179" s="11" t="n">
        <v>352</v>
      </c>
    </row>
    <row r="180" customFormat="false" ht="15" hidden="false" customHeight="false" outlineLevel="0" collapsed="false">
      <c r="A180" s="10" t="n">
        <v>38.5005974769592</v>
      </c>
      <c r="B180" s="11" t="n">
        <v>160</v>
      </c>
      <c r="C180" s="12" t="n">
        <f aca="false">B180*'Correction factors'!$B$7</f>
        <v>774.24</v>
      </c>
      <c r="D180" s="13" t="n">
        <v>6.058122</v>
      </c>
      <c r="E180" s="14" t="n">
        <v>56</v>
      </c>
      <c r="F180" s="10" t="n">
        <f aca="false">E180/'Correction factors'!$B$10</f>
        <v>4.5164</v>
      </c>
      <c r="G180" s="11" t="n">
        <v>354</v>
      </c>
    </row>
    <row r="181" customFormat="false" ht="15" hidden="false" customHeight="false" outlineLevel="0" collapsed="false">
      <c r="A181" s="10" t="n">
        <v>38.5005974769592</v>
      </c>
      <c r="B181" s="11" t="n">
        <v>180</v>
      </c>
      <c r="C181" s="12" t="n">
        <f aca="false">B181*'Correction factors'!$B$7</f>
        <v>871.02</v>
      </c>
      <c r="D181" s="13" t="n">
        <v>6.0483</v>
      </c>
      <c r="E181" s="14" t="n">
        <v>64</v>
      </c>
      <c r="F181" s="10" t="n">
        <f aca="false">E181/'Correction factors'!$B$10</f>
        <v>5.1616</v>
      </c>
      <c r="G181" s="11" t="n">
        <v>355</v>
      </c>
    </row>
    <row r="182" customFormat="false" ht="15" hidden="false" customHeight="false" outlineLevel="0" collapsed="false">
      <c r="A182" s="10" t="n">
        <v>38.5005974769592</v>
      </c>
      <c r="B182" s="11" t="n">
        <v>160</v>
      </c>
      <c r="C182" s="12" t="n">
        <f aca="false">B182*'Correction factors'!$B$7</f>
        <v>774.24</v>
      </c>
      <c r="D182" s="13" t="n">
        <v>6.018835</v>
      </c>
      <c r="E182" s="14" t="n">
        <v>64</v>
      </c>
      <c r="F182" s="10" t="n">
        <f aca="false">E182/'Correction factors'!$B$10</f>
        <v>5.1616</v>
      </c>
      <c r="G182" s="11" t="n">
        <v>354</v>
      </c>
    </row>
    <row r="183" customFormat="false" ht="15" hidden="false" customHeight="false" outlineLevel="0" collapsed="false">
      <c r="A183" s="10" t="n">
        <v>39.0001707077026</v>
      </c>
      <c r="B183" s="11" t="n">
        <v>180</v>
      </c>
      <c r="C183" s="12" t="n">
        <f aca="false">B183*'Correction factors'!$B$7</f>
        <v>871.02</v>
      </c>
      <c r="D183" s="13" t="n">
        <v>5.999192</v>
      </c>
      <c r="E183" s="14" t="n">
        <v>56</v>
      </c>
      <c r="F183" s="10" t="n">
        <f aca="false">E183/'Correction factors'!$B$10</f>
        <v>4.5164</v>
      </c>
      <c r="G183" s="11" t="n">
        <v>357</v>
      </c>
    </row>
    <row r="184" customFormat="false" ht="15" hidden="false" customHeight="false" outlineLevel="0" collapsed="false">
      <c r="A184" s="10" t="n">
        <v>39.0001707077026</v>
      </c>
      <c r="B184" s="11" t="n">
        <v>180</v>
      </c>
      <c r="C184" s="12" t="n">
        <f aca="false">B184*'Correction factors'!$B$7</f>
        <v>871.02</v>
      </c>
      <c r="D184" s="13" t="n">
        <v>5.969727</v>
      </c>
      <c r="E184" s="14" t="n">
        <v>72</v>
      </c>
      <c r="F184" s="10" t="n">
        <f aca="false">E184/'Correction factors'!$B$10</f>
        <v>5.8068</v>
      </c>
      <c r="G184" s="11" t="n">
        <v>357</v>
      </c>
    </row>
    <row r="185" customFormat="false" ht="15" hidden="false" customHeight="false" outlineLevel="0" collapsed="false">
      <c r="A185" s="10" t="n">
        <v>39.4664297103882</v>
      </c>
      <c r="B185" s="11" t="n">
        <v>180</v>
      </c>
      <c r="C185" s="12" t="n">
        <f aca="false">B185*'Correction factors'!$B$7</f>
        <v>871.02</v>
      </c>
      <c r="D185" s="13" t="n">
        <v>5.930441</v>
      </c>
      <c r="E185" s="14" t="n">
        <v>72</v>
      </c>
      <c r="F185" s="10" t="n">
        <f aca="false">E185/'Correction factors'!$B$10</f>
        <v>5.8068</v>
      </c>
      <c r="G185" s="11" t="n">
        <v>356</v>
      </c>
    </row>
    <row r="186" customFormat="false" ht="15" hidden="false" customHeight="false" outlineLevel="0" collapsed="false">
      <c r="A186" s="10" t="n">
        <v>39.4664297103882</v>
      </c>
      <c r="B186" s="11" t="n">
        <v>200</v>
      </c>
      <c r="C186" s="12" t="n">
        <f aca="false">B186*'Correction factors'!$B$7</f>
        <v>967.8</v>
      </c>
      <c r="D186" s="13" t="n">
        <v>5.910797</v>
      </c>
      <c r="E186" s="14" t="n">
        <v>64</v>
      </c>
      <c r="F186" s="10" t="n">
        <f aca="false">E186/'Correction factors'!$B$10</f>
        <v>5.1616</v>
      </c>
      <c r="G186" s="11" t="n">
        <v>356</v>
      </c>
    </row>
    <row r="187" customFormat="false" ht="15" hidden="false" customHeight="false" outlineLevel="0" collapsed="false">
      <c r="A187" s="10" t="n">
        <v>39.9298255443573</v>
      </c>
      <c r="B187" s="11" t="n">
        <v>180</v>
      </c>
      <c r="C187" s="12" t="n">
        <f aca="false">B187*'Correction factors'!$B$7</f>
        <v>871.02</v>
      </c>
      <c r="D187" s="13" t="n">
        <v>5.881333</v>
      </c>
      <c r="E187" s="14" t="n">
        <v>72</v>
      </c>
      <c r="F187" s="10" t="n">
        <f aca="false">E187/'Correction factors'!$B$10</f>
        <v>5.8068</v>
      </c>
      <c r="G187" s="11" t="n">
        <v>355</v>
      </c>
    </row>
    <row r="188" customFormat="false" ht="15" hidden="false" customHeight="false" outlineLevel="0" collapsed="false">
      <c r="A188" s="10" t="n">
        <v>39.9298255443573</v>
      </c>
      <c r="B188" s="11" t="n">
        <v>180</v>
      </c>
      <c r="C188" s="12" t="n">
        <f aca="false">B188*'Correction factors'!$B$7</f>
        <v>871.02</v>
      </c>
      <c r="D188" s="13" t="n">
        <v>5.86169</v>
      </c>
      <c r="E188" s="14" t="n">
        <v>72</v>
      </c>
      <c r="F188" s="10" t="n">
        <f aca="false">E188/'Correction factors'!$B$10</f>
        <v>5.8068</v>
      </c>
      <c r="G188" s="11" t="n">
        <v>356</v>
      </c>
    </row>
    <row r="189" customFormat="false" ht="15" hidden="false" customHeight="false" outlineLevel="0" collapsed="false">
      <c r="A189" s="10" t="n">
        <v>39.9298255443573</v>
      </c>
      <c r="B189" s="11" t="n">
        <v>180</v>
      </c>
      <c r="C189" s="12" t="n">
        <f aca="false">B189*'Correction factors'!$B$7</f>
        <v>871.02</v>
      </c>
      <c r="D189" s="13" t="n">
        <v>5.832225</v>
      </c>
      <c r="E189" s="14" t="n">
        <v>64</v>
      </c>
      <c r="F189" s="10" t="n">
        <f aca="false">E189/'Correction factors'!$B$10</f>
        <v>5.1616</v>
      </c>
      <c r="G189" s="11" t="n">
        <v>357</v>
      </c>
    </row>
    <row r="190" customFormat="false" ht="15" hidden="false" customHeight="false" outlineLevel="0" collapsed="false">
      <c r="A190" s="10" t="n">
        <v>40.4444606304169</v>
      </c>
      <c r="B190" s="11" t="n">
        <v>180</v>
      </c>
      <c r="C190" s="12" t="n">
        <f aca="false">B190*'Correction factors'!$B$7</f>
        <v>871.02</v>
      </c>
      <c r="D190" s="13" t="n">
        <v>5.822403</v>
      </c>
      <c r="E190" s="14" t="n">
        <v>72</v>
      </c>
      <c r="F190" s="10" t="n">
        <f aca="false">E190/'Correction factors'!$B$10</f>
        <v>5.8068</v>
      </c>
      <c r="G190" s="11" t="n">
        <v>357</v>
      </c>
    </row>
    <row r="191" customFormat="false" ht="15" hidden="false" customHeight="false" outlineLevel="0" collapsed="false">
      <c r="A191" s="10" t="n">
        <v>40.4444606304169</v>
      </c>
      <c r="B191" s="11" t="n">
        <v>180</v>
      </c>
      <c r="C191" s="12" t="n">
        <f aca="false">B191*'Correction factors'!$B$7</f>
        <v>871.02</v>
      </c>
      <c r="D191" s="13" t="n">
        <v>5.792939</v>
      </c>
      <c r="E191" s="14" t="n">
        <v>64</v>
      </c>
      <c r="F191" s="10" t="n">
        <f aca="false">E191/'Correction factors'!$B$10</f>
        <v>5.1616</v>
      </c>
      <c r="G191" s="11" t="n">
        <v>357</v>
      </c>
    </row>
    <row r="192" customFormat="false" ht="15" hidden="false" customHeight="false" outlineLevel="0" collapsed="false">
      <c r="A192" s="10" t="n">
        <v>40.8947284221649</v>
      </c>
      <c r="B192" s="11" t="n">
        <v>160</v>
      </c>
      <c r="C192" s="12" t="n">
        <f aca="false">B192*'Correction factors'!$B$7</f>
        <v>774.24</v>
      </c>
      <c r="D192" s="13" t="n">
        <v>5.773295</v>
      </c>
      <c r="E192" s="14" t="n">
        <v>72</v>
      </c>
      <c r="F192" s="10" t="n">
        <f aca="false">E192/'Correction factors'!$B$10</f>
        <v>5.8068</v>
      </c>
      <c r="G192" s="11" t="n">
        <v>357</v>
      </c>
    </row>
    <row r="193" customFormat="false" ht="15" hidden="false" customHeight="false" outlineLevel="0" collapsed="false">
      <c r="A193" s="10" t="n">
        <v>40.8947284221649</v>
      </c>
      <c r="B193" s="11" t="n">
        <v>160</v>
      </c>
      <c r="C193" s="12" t="n">
        <f aca="false">B193*'Correction factors'!$B$7</f>
        <v>774.24</v>
      </c>
      <c r="D193" s="13" t="n">
        <v>5.753652</v>
      </c>
      <c r="E193" s="14" t="n">
        <v>64</v>
      </c>
      <c r="F193" s="10" t="n">
        <f aca="false">E193/'Correction factors'!$B$10</f>
        <v>5.1616</v>
      </c>
      <c r="G193" s="11" t="n">
        <v>358</v>
      </c>
    </row>
    <row r="194" customFormat="false" ht="15" hidden="false" customHeight="false" outlineLevel="0" collapsed="false">
      <c r="A194" s="10" t="n">
        <v>41.3421938419342</v>
      </c>
      <c r="B194" s="11" t="n">
        <v>180</v>
      </c>
      <c r="C194" s="12" t="n">
        <f aca="false">B194*'Correction factors'!$B$7</f>
        <v>871.02</v>
      </c>
      <c r="D194" s="13" t="n">
        <v>5.704544</v>
      </c>
      <c r="E194" s="14" t="n">
        <v>72</v>
      </c>
      <c r="F194" s="10" t="n">
        <f aca="false">E194/'Correction factors'!$B$10</f>
        <v>5.8068</v>
      </c>
      <c r="G194" s="11" t="n">
        <v>365</v>
      </c>
    </row>
    <row r="195" customFormat="false" ht="15" hidden="false" customHeight="false" outlineLevel="0" collapsed="false">
      <c r="A195" s="10" t="n">
        <v>41.3421938419342</v>
      </c>
      <c r="B195" s="11" t="n">
        <v>260</v>
      </c>
      <c r="C195" s="12" t="n">
        <f aca="false">B195*'Correction factors'!$B$7</f>
        <v>1258.14</v>
      </c>
      <c r="D195" s="13" t="n">
        <v>5.645614</v>
      </c>
      <c r="E195" s="14" t="n">
        <v>96</v>
      </c>
      <c r="F195" s="10" t="n">
        <f aca="false">E195/'Correction factors'!$B$10</f>
        <v>7.7424</v>
      </c>
      <c r="G195" s="11" t="n">
        <v>364</v>
      </c>
    </row>
    <row r="196" customFormat="false" ht="15" hidden="false" customHeight="false" outlineLevel="0" collapsed="false">
      <c r="A196" s="10" t="n">
        <v>41.7916738986969</v>
      </c>
      <c r="B196" s="11" t="n">
        <v>280</v>
      </c>
      <c r="C196" s="12" t="n">
        <f aca="false">B196*'Correction factors'!$B$7</f>
        <v>1354.92</v>
      </c>
      <c r="D196" s="13" t="n">
        <v>5.586685</v>
      </c>
      <c r="E196" s="14" t="n">
        <v>104</v>
      </c>
      <c r="F196" s="10" t="n">
        <f aca="false">E196/'Correction factors'!$B$10</f>
        <v>8.3876</v>
      </c>
      <c r="G196" s="11" t="n">
        <v>350</v>
      </c>
    </row>
    <row r="197" customFormat="false" ht="15" hidden="false" customHeight="false" outlineLevel="0" collapsed="false">
      <c r="A197" s="10" t="n">
        <v>41.7916738986969</v>
      </c>
      <c r="B197" s="11" t="n">
        <v>260</v>
      </c>
      <c r="C197" s="12" t="n">
        <f aca="false">B197*'Correction factors'!$B$7</f>
        <v>1258.14</v>
      </c>
      <c r="D197" s="13" t="n">
        <v>5.547399</v>
      </c>
      <c r="E197" s="14" t="n">
        <v>104</v>
      </c>
      <c r="F197" s="10" t="n">
        <f aca="false">E197/'Correction factors'!$B$10</f>
        <v>8.3876</v>
      </c>
      <c r="G197" s="11" t="n">
        <v>348</v>
      </c>
    </row>
    <row r="198" customFormat="false" ht="15" hidden="false" customHeight="false" outlineLevel="0" collapsed="false">
      <c r="A198" s="10" t="n">
        <v>41.7916738986969</v>
      </c>
      <c r="B198" s="11" t="n">
        <v>260</v>
      </c>
      <c r="C198" s="12" t="n">
        <f aca="false">B198*'Correction factors'!$B$7</f>
        <v>1258.14</v>
      </c>
      <c r="D198" s="13" t="n">
        <v>5.517933</v>
      </c>
      <c r="E198" s="14" t="n">
        <v>96</v>
      </c>
      <c r="F198" s="10" t="n">
        <f aca="false">E198/'Correction factors'!$B$10</f>
        <v>7.7424</v>
      </c>
      <c r="G198" s="11" t="n">
        <v>347</v>
      </c>
    </row>
    <row r="199" customFormat="false" ht="15" hidden="false" customHeight="false" outlineLevel="0" collapsed="false">
      <c r="A199" s="10" t="n">
        <v>42.2915093898773</v>
      </c>
      <c r="B199" s="11" t="n">
        <v>260</v>
      </c>
      <c r="C199" s="12" t="n">
        <f aca="false">B199*'Correction factors'!$B$7</f>
        <v>1258.14</v>
      </c>
      <c r="D199" s="13" t="n">
        <v>5.488469</v>
      </c>
      <c r="E199" s="14" t="n">
        <v>104</v>
      </c>
      <c r="F199" s="10" t="n">
        <f aca="false">E199/'Correction factors'!$B$10</f>
        <v>8.3876</v>
      </c>
      <c r="G199" s="11" t="n">
        <v>345</v>
      </c>
    </row>
    <row r="200" customFormat="false" ht="15" hidden="false" customHeight="false" outlineLevel="0" collapsed="false">
      <c r="A200" s="10" t="n">
        <v>42.2915093898773</v>
      </c>
      <c r="B200" s="11" t="n">
        <v>240</v>
      </c>
      <c r="C200" s="12" t="n">
        <f aca="false">B200*'Correction factors'!$B$7</f>
        <v>1161.36</v>
      </c>
      <c r="D200" s="13" t="n">
        <v>5.459004</v>
      </c>
      <c r="E200" s="14" t="n">
        <v>96</v>
      </c>
      <c r="F200" s="10" t="n">
        <f aca="false">E200/'Correction factors'!$B$10</f>
        <v>7.7424</v>
      </c>
      <c r="G200" s="11" t="n">
        <v>344</v>
      </c>
    </row>
    <row r="201" customFormat="false" ht="15" hidden="false" customHeight="false" outlineLevel="0" collapsed="false">
      <c r="A201" s="10" t="n">
        <v>42.7921268939972</v>
      </c>
      <c r="B201" s="11" t="n">
        <v>220</v>
      </c>
      <c r="C201" s="12" t="n">
        <f aca="false">B201*'Correction factors'!$B$7</f>
        <v>1064.58</v>
      </c>
      <c r="D201" s="13" t="n">
        <v>5.429539</v>
      </c>
      <c r="E201" s="14" t="n">
        <v>96</v>
      </c>
      <c r="F201" s="10" t="n">
        <f aca="false">E201/'Correction factors'!$B$10</f>
        <v>7.7424</v>
      </c>
      <c r="G201" s="11" t="n">
        <v>343</v>
      </c>
    </row>
    <row r="202" customFormat="false" ht="15" hidden="false" customHeight="false" outlineLevel="0" collapsed="false">
      <c r="A202" s="10" t="n">
        <v>42.7921268939972</v>
      </c>
      <c r="B202" s="11" t="n">
        <v>240</v>
      </c>
      <c r="C202" s="12" t="n">
        <f aca="false">B202*'Correction factors'!$B$7</f>
        <v>1161.36</v>
      </c>
      <c r="D202" s="13" t="n">
        <v>5.419718</v>
      </c>
      <c r="E202" s="14" t="n">
        <v>96</v>
      </c>
      <c r="F202" s="10" t="n">
        <f aca="false">E202/'Correction factors'!$B$10</f>
        <v>7.7424</v>
      </c>
      <c r="G202" s="11" t="n">
        <v>343</v>
      </c>
    </row>
    <row r="203" customFormat="false" ht="15" hidden="false" customHeight="false" outlineLevel="0" collapsed="false">
      <c r="A203" s="10" t="n">
        <v>43.2571232318878</v>
      </c>
      <c r="B203" s="11" t="n">
        <v>240</v>
      </c>
      <c r="C203" s="12" t="n">
        <f aca="false">B203*'Correction factors'!$B$7</f>
        <v>1161.36</v>
      </c>
      <c r="D203" s="13" t="n">
        <v>5.400074</v>
      </c>
      <c r="E203" s="14" t="n">
        <v>96</v>
      </c>
      <c r="F203" s="10" t="n">
        <f aca="false">E203/'Correction factors'!$B$10</f>
        <v>7.7424</v>
      </c>
      <c r="G203" s="11" t="n">
        <v>343</v>
      </c>
    </row>
    <row r="204" customFormat="false" ht="15" hidden="false" customHeight="false" outlineLevel="0" collapsed="false">
      <c r="A204" s="10" t="n">
        <v>43.2571232318878</v>
      </c>
      <c r="B204" s="11" t="n">
        <v>240</v>
      </c>
      <c r="C204" s="12" t="n">
        <f aca="false">B204*'Correction factors'!$B$7</f>
        <v>1161.36</v>
      </c>
      <c r="D204" s="13" t="n">
        <v>5.380431</v>
      </c>
      <c r="E204" s="14" t="n">
        <v>96</v>
      </c>
      <c r="F204" s="10" t="n">
        <f aca="false">E204/'Correction factors'!$B$10</f>
        <v>7.7424</v>
      </c>
      <c r="G204" s="11" t="n">
        <v>343</v>
      </c>
    </row>
    <row r="205" customFormat="false" ht="15" hidden="false" customHeight="false" outlineLevel="0" collapsed="false">
      <c r="A205" s="10" t="n">
        <v>43.2571232318878</v>
      </c>
      <c r="B205" s="11" t="n">
        <v>240</v>
      </c>
      <c r="C205" s="12" t="n">
        <f aca="false">B205*'Correction factors'!$B$7</f>
        <v>1161.36</v>
      </c>
      <c r="D205" s="13" t="n">
        <v>5.360788</v>
      </c>
      <c r="E205" s="14" t="n">
        <v>96</v>
      </c>
      <c r="F205" s="10" t="n">
        <f aca="false">E205/'Correction factors'!$B$10</f>
        <v>7.7424</v>
      </c>
      <c r="G205" s="11" t="n">
        <v>342</v>
      </c>
    </row>
    <row r="206" customFormat="false" ht="15" hidden="false" customHeight="false" outlineLevel="0" collapsed="false">
      <c r="A206" s="10" t="n">
        <v>43.7470254898071</v>
      </c>
      <c r="B206" s="11" t="n">
        <v>240</v>
      </c>
      <c r="C206" s="12" t="n">
        <f aca="false">B206*'Correction factors'!$B$7</f>
        <v>1161.36</v>
      </c>
      <c r="D206" s="13" t="n">
        <v>5.360788</v>
      </c>
      <c r="E206" s="14" t="n">
        <v>88</v>
      </c>
      <c r="F206" s="10" t="n">
        <f aca="false">E206/'Correction factors'!$B$10</f>
        <v>7.0972</v>
      </c>
      <c r="G206" s="11" t="n">
        <v>339</v>
      </c>
    </row>
    <row r="207" customFormat="false" ht="15" hidden="false" customHeight="false" outlineLevel="0" collapsed="false">
      <c r="A207" s="10" t="n">
        <v>43.7470254898071</v>
      </c>
      <c r="B207" s="11" t="n">
        <v>220</v>
      </c>
      <c r="C207" s="12" t="n">
        <f aca="false">B207*'Correction factors'!$B$7</f>
        <v>1064.58</v>
      </c>
      <c r="D207" s="13" t="n">
        <v>5.350966</v>
      </c>
      <c r="E207" s="14" t="n">
        <v>88</v>
      </c>
      <c r="F207" s="10" t="n">
        <f aca="false">E207/'Correction factors'!$B$10</f>
        <v>7.0972</v>
      </c>
      <c r="G207" s="11" t="n">
        <v>339</v>
      </c>
    </row>
    <row r="208" customFormat="false" ht="15" hidden="false" customHeight="false" outlineLevel="0" collapsed="false">
      <c r="A208" s="10" t="n">
        <v>44.2080221176148</v>
      </c>
      <c r="B208" s="11" t="n">
        <v>220</v>
      </c>
      <c r="C208" s="12" t="n">
        <f aca="false">B208*'Correction factors'!$B$7</f>
        <v>1064.58</v>
      </c>
      <c r="D208" s="13" t="n">
        <v>5.350966</v>
      </c>
      <c r="E208" s="14" t="n">
        <v>88</v>
      </c>
      <c r="F208" s="10" t="n">
        <f aca="false">E208/'Correction factors'!$B$10</f>
        <v>7.0972</v>
      </c>
      <c r="G208" s="11" t="n">
        <v>339</v>
      </c>
    </row>
    <row r="209" customFormat="false" ht="15" hidden="false" customHeight="false" outlineLevel="0" collapsed="false">
      <c r="A209" s="10" t="n">
        <v>44.2080221176148</v>
      </c>
      <c r="B209" s="11" t="n">
        <v>200</v>
      </c>
      <c r="C209" s="12" t="n">
        <f aca="false">B209*'Correction factors'!$B$7</f>
        <v>967.8</v>
      </c>
      <c r="D209" s="13" t="n">
        <v>5.350966</v>
      </c>
      <c r="E209" s="14" t="n">
        <v>88</v>
      </c>
      <c r="F209" s="10" t="n">
        <f aca="false">E209/'Correction factors'!$B$10</f>
        <v>7.0972</v>
      </c>
      <c r="G209" s="11" t="n">
        <v>339</v>
      </c>
    </row>
    <row r="210" customFormat="false" ht="15" hidden="false" customHeight="false" outlineLevel="0" collapsed="false">
      <c r="A210" s="10" t="n">
        <v>44.6750221252441</v>
      </c>
      <c r="B210" s="11" t="n">
        <v>200</v>
      </c>
      <c r="C210" s="12" t="n">
        <f aca="false">B210*'Correction factors'!$B$7</f>
        <v>967.8</v>
      </c>
      <c r="D210" s="13" t="n">
        <v>5.350966</v>
      </c>
      <c r="E210" s="14" t="n">
        <v>80</v>
      </c>
      <c r="F210" s="10" t="n">
        <f aca="false">E210/'Correction factors'!$B$10</f>
        <v>6.452</v>
      </c>
      <c r="G210" s="11" t="n">
        <v>342</v>
      </c>
    </row>
    <row r="211" customFormat="false" ht="15" hidden="false" customHeight="false" outlineLevel="0" collapsed="false">
      <c r="A211" s="10" t="n">
        <v>44.6750221252441</v>
      </c>
      <c r="B211" s="11" t="n">
        <v>200</v>
      </c>
      <c r="C211" s="12" t="n">
        <f aca="false">B211*'Correction factors'!$B$7</f>
        <v>967.8</v>
      </c>
      <c r="D211" s="13" t="n">
        <v>5.350966</v>
      </c>
      <c r="E211" s="14" t="n">
        <v>88</v>
      </c>
      <c r="F211" s="10" t="n">
        <f aca="false">E211/'Correction factors'!$B$10</f>
        <v>7.0972</v>
      </c>
      <c r="G211" s="11" t="n">
        <v>342</v>
      </c>
    </row>
    <row r="212" customFormat="false" ht="15" hidden="false" customHeight="false" outlineLevel="0" collapsed="false">
      <c r="A212" s="10" t="n">
        <v>44.6750221252441</v>
      </c>
      <c r="B212" s="11" t="n">
        <v>200</v>
      </c>
      <c r="C212" s="12" t="n">
        <f aca="false">B212*'Correction factors'!$B$7</f>
        <v>967.8</v>
      </c>
      <c r="D212" s="13" t="n">
        <v>5.341145</v>
      </c>
      <c r="E212" s="14" t="n">
        <v>88</v>
      </c>
      <c r="F212" s="10" t="n">
        <f aca="false">E212/'Correction factors'!$B$10</f>
        <v>7.0972</v>
      </c>
      <c r="G212" s="11" t="n">
        <v>342</v>
      </c>
    </row>
    <row r="213" customFormat="false" ht="15" hidden="false" customHeight="false" outlineLevel="0" collapsed="false">
      <c r="A213" s="10" t="n">
        <v>45.186731338501</v>
      </c>
      <c r="B213" s="11" t="n">
        <v>220</v>
      </c>
      <c r="C213" s="12" t="n">
        <f aca="false">B213*'Correction factors'!$B$7</f>
        <v>1064.58</v>
      </c>
      <c r="D213" s="13" t="n">
        <v>5.331323</v>
      </c>
      <c r="E213" s="14" t="n">
        <v>88</v>
      </c>
      <c r="F213" s="10" t="n">
        <f aca="false">E213/'Correction factors'!$B$10</f>
        <v>7.0972</v>
      </c>
      <c r="G213" s="11" t="n">
        <v>342</v>
      </c>
    </row>
    <row r="214" customFormat="false" ht="15" hidden="false" customHeight="false" outlineLevel="0" collapsed="false">
      <c r="A214" s="10" t="n">
        <v>45.186731338501</v>
      </c>
      <c r="B214" s="11" t="n">
        <v>200</v>
      </c>
      <c r="C214" s="12" t="n">
        <f aca="false">B214*'Correction factors'!$B$7</f>
        <v>967.8</v>
      </c>
      <c r="D214" s="13" t="n">
        <v>5.331323</v>
      </c>
      <c r="E214" s="14" t="n">
        <v>88</v>
      </c>
      <c r="F214" s="10" t="n">
        <f aca="false">E214/'Correction factors'!$B$10</f>
        <v>7.0972</v>
      </c>
      <c r="G214" s="11" t="n">
        <v>341</v>
      </c>
    </row>
    <row r="215" customFormat="false" ht="15" hidden="false" customHeight="false" outlineLevel="0" collapsed="false">
      <c r="A215" s="10" t="n">
        <v>45.6477382183075</v>
      </c>
      <c r="B215" s="11" t="n">
        <v>200</v>
      </c>
      <c r="C215" s="12" t="n">
        <f aca="false">B215*'Correction factors'!$B$7</f>
        <v>967.8</v>
      </c>
      <c r="D215" s="13" t="n">
        <v>5.321502</v>
      </c>
      <c r="E215" s="14" t="n">
        <v>80</v>
      </c>
      <c r="F215" s="10" t="n">
        <f aca="false">E215/'Correction factors'!$B$10</f>
        <v>6.452</v>
      </c>
      <c r="G215" s="11" t="n">
        <v>341</v>
      </c>
    </row>
    <row r="216" customFormat="false" ht="15" hidden="false" customHeight="false" outlineLevel="0" collapsed="false">
      <c r="A216" s="10" t="n">
        <v>45.6477382183075</v>
      </c>
      <c r="B216" s="11" t="n">
        <v>220</v>
      </c>
      <c r="C216" s="12" t="n">
        <f aca="false">B216*'Correction factors'!$B$7</f>
        <v>1064.58</v>
      </c>
      <c r="D216" s="13" t="n">
        <v>5.341145</v>
      </c>
      <c r="E216" s="14" t="n">
        <v>88</v>
      </c>
      <c r="F216" s="10" t="n">
        <f aca="false">E216/'Correction factors'!$B$10</f>
        <v>7.0972</v>
      </c>
      <c r="G216" s="11" t="n">
        <v>340</v>
      </c>
    </row>
    <row r="217" customFormat="false" ht="15" hidden="false" customHeight="false" outlineLevel="0" collapsed="false">
      <c r="A217" s="10" t="n">
        <v>46.1028711795807</v>
      </c>
      <c r="B217" s="11" t="n">
        <v>200</v>
      </c>
      <c r="C217" s="12" t="n">
        <f aca="false">B217*'Correction factors'!$B$7</f>
        <v>967.8</v>
      </c>
      <c r="D217" s="13" t="n">
        <v>5.331323</v>
      </c>
      <c r="E217" s="14" t="n">
        <v>88</v>
      </c>
      <c r="F217" s="10" t="n">
        <f aca="false">E217/'Correction factors'!$B$10</f>
        <v>7.0972</v>
      </c>
      <c r="G217" s="11" t="n">
        <v>339</v>
      </c>
    </row>
    <row r="218" customFormat="false" ht="15" hidden="false" customHeight="false" outlineLevel="0" collapsed="false">
      <c r="A218" s="10" t="n">
        <v>46.1028711795807</v>
      </c>
      <c r="B218" s="11" t="n">
        <v>200</v>
      </c>
      <c r="C218" s="12" t="n">
        <f aca="false">B218*'Correction factors'!$B$7</f>
        <v>967.8</v>
      </c>
      <c r="D218" s="13" t="n">
        <v>5.321502</v>
      </c>
      <c r="E218" s="14" t="n">
        <v>80</v>
      </c>
      <c r="F218" s="10" t="n">
        <f aca="false">E218/'Correction factors'!$B$10</f>
        <v>6.452</v>
      </c>
      <c r="G218" s="11" t="n">
        <v>340</v>
      </c>
    </row>
    <row r="219" customFormat="false" ht="15" hidden="false" customHeight="false" outlineLevel="0" collapsed="false">
      <c r="A219" s="10" t="n">
        <v>46.5300486087799</v>
      </c>
      <c r="B219" s="11" t="n">
        <v>200</v>
      </c>
      <c r="C219" s="12" t="n">
        <f aca="false">B219*'Correction factors'!$B$7</f>
        <v>967.8</v>
      </c>
      <c r="D219" s="13" t="n">
        <v>5.321502</v>
      </c>
      <c r="E219" s="14" t="n">
        <v>88</v>
      </c>
      <c r="F219" s="10" t="n">
        <f aca="false">E219/'Correction factors'!$B$10</f>
        <v>7.0972</v>
      </c>
      <c r="G219" s="11" t="n">
        <v>341</v>
      </c>
    </row>
    <row r="220" customFormat="false" ht="15" hidden="false" customHeight="false" outlineLevel="0" collapsed="false">
      <c r="A220" s="10" t="n">
        <v>46.5300486087799</v>
      </c>
      <c r="B220" s="11" t="n">
        <v>220</v>
      </c>
      <c r="C220" s="12" t="n">
        <f aca="false">B220*'Correction factors'!$B$7</f>
        <v>1064.58</v>
      </c>
      <c r="D220" s="13" t="n">
        <v>5.31168</v>
      </c>
      <c r="E220" s="14" t="n">
        <v>88</v>
      </c>
      <c r="F220" s="10" t="n">
        <f aca="false">E220/'Correction factors'!$B$10</f>
        <v>7.0972</v>
      </c>
      <c r="G220" s="11" t="n">
        <v>341</v>
      </c>
    </row>
    <row r="221" customFormat="false" ht="15" hidden="false" customHeight="false" outlineLevel="0" collapsed="false">
      <c r="A221" s="10" t="n">
        <v>46.5300486087799</v>
      </c>
      <c r="B221" s="11" t="n">
        <v>200</v>
      </c>
      <c r="C221" s="12" t="n">
        <f aca="false">B221*'Correction factors'!$B$7</f>
        <v>967.8</v>
      </c>
      <c r="D221" s="13" t="n">
        <v>5.31168</v>
      </c>
      <c r="E221" s="14" t="n">
        <v>80</v>
      </c>
      <c r="F221" s="10" t="n">
        <f aca="false">E221/'Correction factors'!$B$10</f>
        <v>6.452</v>
      </c>
      <c r="G221" s="11" t="n">
        <v>339</v>
      </c>
    </row>
    <row r="222" customFormat="false" ht="15" hidden="false" customHeight="false" outlineLevel="0" collapsed="false">
      <c r="A222" s="10" t="n">
        <v>47.0352492332459</v>
      </c>
      <c r="B222" s="11" t="n">
        <v>220</v>
      </c>
      <c r="C222" s="12" t="n">
        <f aca="false">B222*'Correction factors'!$B$7</f>
        <v>1064.58</v>
      </c>
      <c r="D222" s="13" t="n">
        <v>5.31168</v>
      </c>
      <c r="E222" s="14" t="n">
        <v>88</v>
      </c>
      <c r="F222" s="10" t="n">
        <f aca="false">E222/'Correction factors'!$B$10</f>
        <v>7.0972</v>
      </c>
      <c r="G222" s="11" t="n">
        <v>339</v>
      </c>
    </row>
    <row r="223" customFormat="false" ht="15" hidden="false" customHeight="false" outlineLevel="0" collapsed="false">
      <c r="A223" s="10" t="n">
        <v>47.0352492332459</v>
      </c>
      <c r="B223" s="11" t="n">
        <v>200</v>
      </c>
      <c r="C223" s="12" t="n">
        <f aca="false">B223*'Correction factors'!$B$7</f>
        <v>967.8</v>
      </c>
      <c r="D223" s="13" t="n">
        <v>5.301858</v>
      </c>
      <c r="E223" s="14" t="n">
        <v>88</v>
      </c>
      <c r="F223" s="10" t="n">
        <f aca="false">E223/'Correction factors'!$B$10</f>
        <v>7.0972</v>
      </c>
      <c r="G223" s="11" t="n">
        <v>339</v>
      </c>
    </row>
    <row r="224" customFormat="false" ht="15" hidden="false" customHeight="false" outlineLevel="0" collapsed="false">
      <c r="A224" s="10" t="n">
        <v>47.5106072425842</v>
      </c>
      <c r="B224" s="11" t="n">
        <v>200</v>
      </c>
      <c r="C224" s="12" t="n">
        <f aca="false">B224*'Correction factors'!$B$7</f>
        <v>967.8</v>
      </c>
      <c r="D224" s="13" t="n">
        <v>5.301858</v>
      </c>
      <c r="E224" s="14" t="n">
        <v>80</v>
      </c>
      <c r="F224" s="10" t="n">
        <f aca="false">E224/'Correction factors'!$B$10</f>
        <v>6.452</v>
      </c>
      <c r="G224" s="11" t="n">
        <v>339</v>
      </c>
    </row>
    <row r="225" customFormat="false" ht="15" hidden="false" customHeight="false" outlineLevel="0" collapsed="false">
      <c r="A225" s="10" t="n">
        <v>47.5106072425842</v>
      </c>
      <c r="B225" s="11" t="n">
        <v>200</v>
      </c>
      <c r="C225" s="12" t="n">
        <f aca="false">B225*'Correction factors'!$B$7</f>
        <v>967.8</v>
      </c>
      <c r="D225" s="13" t="n">
        <v>5.292037</v>
      </c>
      <c r="E225" s="14" t="n">
        <v>88</v>
      </c>
      <c r="F225" s="10" t="n">
        <f aca="false">E225/'Correction factors'!$B$10</f>
        <v>7.0972</v>
      </c>
      <c r="G225" s="11" t="n">
        <v>339</v>
      </c>
    </row>
    <row r="226" customFormat="false" ht="15" hidden="false" customHeight="false" outlineLevel="0" collapsed="false">
      <c r="A226" s="10" t="n">
        <v>47.9595084190369</v>
      </c>
      <c r="B226" s="11" t="n">
        <v>200</v>
      </c>
      <c r="C226" s="12" t="n">
        <f aca="false">B226*'Correction factors'!$B$7</f>
        <v>967.8</v>
      </c>
      <c r="D226" s="13" t="n">
        <v>5.301858</v>
      </c>
      <c r="E226" s="14" t="n">
        <v>88</v>
      </c>
      <c r="F226" s="10" t="n">
        <f aca="false">E226/'Correction factors'!$B$10</f>
        <v>7.0972</v>
      </c>
      <c r="G226" s="11" t="n">
        <v>339</v>
      </c>
    </row>
    <row r="227" customFormat="false" ht="15" hidden="false" customHeight="false" outlineLevel="0" collapsed="false">
      <c r="A227" s="10" t="n">
        <v>47.9595084190369</v>
      </c>
      <c r="B227" s="11" t="n">
        <v>200</v>
      </c>
      <c r="C227" s="12" t="n">
        <f aca="false">B227*'Correction factors'!$B$7</f>
        <v>967.8</v>
      </c>
      <c r="D227" s="13" t="n">
        <v>5.292037</v>
      </c>
      <c r="E227" s="14" t="n">
        <v>80</v>
      </c>
      <c r="F227" s="10" t="n">
        <f aca="false">E227/'Correction factors'!$B$10</f>
        <v>6.452</v>
      </c>
      <c r="G227" s="11" t="n">
        <v>339</v>
      </c>
    </row>
    <row r="228" customFormat="false" ht="15" hidden="false" customHeight="false" outlineLevel="0" collapsed="false">
      <c r="A228" s="10" t="n">
        <v>48.3831226825714</v>
      </c>
      <c r="B228" s="11" t="n">
        <v>200</v>
      </c>
      <c r="C228" s="12" t="n">
        <f aca="false">B228*'Correction factors'!$B$7</f>
        <v>967.8</v>
      </c>
      <c r="D228" s="13" t="n">
        <v>5.292037</v>
      </c>
      <c r="E228" s="14" t="n">
        <v>88</v>
      </c>
      <c r="F228" s="10" t="n">
        <f aca="false">E228/'Correction factors'!$B$10</f>
        <v>7.0972</v>
      </c>
      <c r="G228" s="11" t="n">
        <v>339</v>
      </c>
    </row>
    <row r="229" customFormat="false" ht="15" hidden="false" customHeight="false" outlineLevel="0" collapsed="false">
      <c r="A229" s="10" t="n">
        <v>48.3831226825714</v>
      </c>
      <c r="B229" s="11" t="n">
        <v>200</v>
      </c>
      <c r="C229" s="12" t="n">
        <f aca="false">B229*'Correction factors'!$B$7</f>
        <v>967.8</v>
      </c>
      <c r="D229" s="13" t="n">
        <v>5.272394</v>
      </c>
      <c r="E229" s="14" t="n">
        <v>88</v>
      </c>
      <c r="F229" s="10" t="n">
        <f aca="false">E229/'Correction factors'!$B$10</f>
        <v>7.0972</v>
      </c>
      <c r="G229" s="11" t="n">
        <v>339</v>
      </c>
    </row>
    <row r="230" customFormat="false" ht="15" hidden="false" customHeight="false" outlineLevel="0" collapsed="false">
      <c r="A230" s="10" t="n">
        <v>48.8160207271576</v>
      </c>
      <c r="B230" s="11" t="n">
        <v>200</v>
      </c>
      <c r="C230" s="12" t="n">
        <f aca="false">B230*'Correction factors'!$B$7</f>
        <v>967.8</v>
      </c>
      <c r="D230" s="13" t="n">
        <v>5.282216</v>
      </c>
      <c r="E230" s="14" t="n">
        <v>80</v>
      </c>
      <c r="F230" s="10" t="n">
        <f aca="false">E230/'Correction factors'!$B$10</f>
        <v>6.452</v>
      </c>
      <c r="G230" s="11" t="n">
        <v>339</v>
      </c>
    </row>
    <row r="231" customFormat="false" ht="15" hidden="false" customHeight="false" outlineLevel="0" collapsed="false">
      <c r="A231" s="10" t="n">
        <v>48.8160207271576</v>
      </c>
      <c r="B231" s="11" t="n">
        <v>200</v>
      </c>
      <c r="C231" s="12" t="n">
        <f aca="false">B231*'Correction factors'!$B$7</f>
        <v>967.8</v>
      </c>
      <c r="D231" s="13" t="n">
        <v>5.272394</v>
      </c>
      <c r="E231" s="14" t="n">
        <v>88</v>
      </c>
      <c r="F231" s="10" t="n">
        <f aca="false">E231/'Correction factors'!$B$10</f>
        <v>7.0972</v>
      </c>
      <c r="G231" s="11" t="n">
        <v>339</v>
      </c>
    </row>
    <row r="232" customFormat="false" ht="15" hidden="false" customHeight="false" outlineLevel="0" collapsed="false">
      <c r="A232" s="10" t="n">
        <v>48.8160207271576</v>
      </c>
      <c r="B232" s="11" t="n">
        <v>200</v>
      </c>
      <c r="C232" s="12" t="n">
        <f aca="false">B232*'Correction factors'!$B$7</f>
        <v>967.8</v>
      </c>
      <c r="D232" s="13" t="n">
        <v>5.262572</v>
      </c>
      <c r="E232" s="14" t="n">
        <v>80</v>
      </c>
      <c r="F232" s="10" t="n">
        <f aca="false">E232/'Correction factors'!$B$10</f>
        <v>6.452</v>
      </c>
      <c r="G232" s="11" t="n">
        <v>339</v>
      </c>
    </row>
    <row r="233" customFormat="false" ht="15" hidden="false" customHeight="false" outlineLevel="0" collapsed="false">
      <c r="A233" s="10" t="n">
        <v>49.2985470294952</v>
      </c>
      <c r="B233" s="11" t="n">
        <v>200</v>
      </c>
      <c r="C233" s="12" t="n">
        <f aca="false">B233*'Correction factors'!$B$7</f>
        <v>967.8</v>
      </c>
      <c r="D233" s="13" t="n">
        <v>5.262572</v>
      </c>
      <c r="E233" s="14" t="n">
        <v>88</v>
      </c>
      <c r="F233" s="10" t="n">
        <f aca="false">E233/'Correction factors'!$B$10</f>
        <v>7.0972</v>
      </c>
      <c r="G233" s="11" t="n">
        <v>339</v>
      </c>
    </row>
    <row r="234" customFormat="false" ht="15" hidden="false" customHeight="false" outlineLevel="0" collapsed="false">
      <c r="A234" s="10" t="n">
        <v>49.2985470294952</v>
      </c>
      <c r="B234" s="11" t="n">
        <v>180</v>
      </c>
      <c r="C234" s="12" t="n">
        <f aca="false">B234*'Correction factors'!$B$7</f>
        <v>871.02</v>
      </c>
      <c r="D234" s="13" t="n">
        <v>5.262572</v>
      </c>
      <c r="E234" s="14" t="n">
        <v>80</v>
      </c>
      <c r="F234" s="10" t="n">
        <f aca="false">E234/'Correction factors'!$B$10</f>
        <v>6.452</v>
      </c>
      <c r="G234" s="11" t="n">
        <v>339</v>
      </c>
    </row>
    <row r="235" customFormat="false" ht="15" hidden="false" customHeight="false" outlineLevel="0" collapsed="false">
      <c r="A235" s="10" t="n">
        <v>49.7286899089813</v>
      </c>
      <c r="B235" s="11" t="n">
        <v>200</v>
      </c>
      <c r="C235" s="12" t="n">
        <f aca="false">B235*'Correction factors'!$B$7</f>
        <v>967.8</v>
      </c>
      <c r="D235" s="13" t="n">
        <v>5.262572</v>
      </c>
      <c r="E235" s="14" t="n">
        <v>88</v>
      </c>
      <c r="F235" s="10" t="n">
        <f aca="false">E235/'Correction factors'!$B$10</f>
        <v>7.0972</v>
      </c>
      <c r="G235" s="11" t="n">
        <v>343</v>
      </c>
    </row>
    <row r="236" customFormat="false" ht="15" hidden="false" customHeight="false" outlineLevel="0" collapsed="false">
      <c r="A236" s="10" t="n">
        <v>49.7286899089813</v>
      </c>
      <c r="B236" s="11" t="n">
        <v>200</v>
      </c>
      <c r="C236" s="12" t="n">
        <f aca="false">B236*'Correction factors'!$B$7</f>
        <v>967.8</v>
      </c>
      <c r="D236" s="13" t="n">
        <v>5.262572</v>
      </c>
      <c r="E236" s="14" t="n">
        <v>80</v>
      </c>
      <c r="F236" s="10" t="n">
        <f aca="false">E236/'Correction factors'!$B$10</f>
        <v>6.452</v>
      </c>
      <c r="G236" s="11" t="n">
        <v>342</v>
      </c>
    </row>
    <row r="237" customFormat="false" ht="15" hidden="false" customHeight="false" outlineLevel="0" collapsed="false">
      <c r="A237" s="10" t="n">
        <v>50.1606647968292</v>
      </c>
      <c r="B237" s="11" t="n">
        <v>200</v>
      </c>
      <c r="C237" s="12" t="n">
        <f aca="false">B237*'Correction factors'!$B$7</f>
        <v>967.8</v>
      </c>
      <c r="D237" s="13" t="n">
        <v>5.252751</v>
      </c>
      <c r="E237" s="14" t="n">
        <v>88</v>
      </c>
      <c r="F237" s="10" t="n">
        <f aca="false">E237/'Correction factors'!$B$10</f>
        <v>7.0972</v>
      </c>
      <c r="G237" s="11" t="n">
        <v>341</v>
      </c>
    </row>
    <row r="238" customFormat="false" ht="15" hidden="false" customHeight="false" outlineLevel="0" collapsed="false">
      <c r="A238" s="10" t="n">
        <v>50.1606647968292</v>
      </c>
      <c r="B238" s="11" t="n">
        <v>200</v>
      </c>
      <c r="C238" s="12" t="n">
        <f aca="false">B238*'Correction factors'!$B$7</f>
        <v>967.8</v>
      </c>
      <c r="D238" s="13" t="n">
        <v>5.252751</v>
      </c>
      <c r="E238" s="14" t="n">
        <v>80</v>
      </c>
      <c r="F238" s="10" t="n">
        <f aca="false">E238/'Correction factors'!$B$10</f>
        <v>6.452</v>
      </c>
      <c r="G238" s="11" t="n">
        <v>341</v>
      </c>
    </row>
    <row r="239" customFormat="false" ht="15" hidden="false" customHeight="false" outlineLevel="0" collapsed="false">
      <c r="A239" s="10" t="n">
        <v>50.6061704158783</v>
      </c>
      <c r="B239" s="11" t="n">
        <v>200</v>
      </c>
      <c r="C239" s="12" t="n">
        <f aca="false">B239*'Correction factors'!$B$7</f>
        <v>967.8</v>
      </c>
      <c r="D239" s="13" t="n">
        <v>5.242929</v>
      </c>
      <c r="E239" s="14" t="n">
        <v>88</v>
      </c>
      <c r="F239" s="10" t="n">
        <f aca="false">E239/'Correction factors'!$B$10</f>
        <v>7.0972</v>
      </c>
      <c r="G239" s="11" t="n">
        <v>341</v>
      </c>
    </row>
    <row r="240" customFormat="false" ht="15" hidden="false" customHeight="false" outlineLevel="0" collapsed="false">
      <c r="A240" s="10" t="n">
        <v>50.6061704158783</v>
      </c>
      <c r="B240" s="11" t="n">
        <v>200</v>
      </c>
      <c r="C240" s="12" t="n">
        <f aca="false">B240*'Correction factors'!$B$7</f>
        <v>967.8</v>
      </c>
      <c r="D240" s="13" t="n">
        <v>5.242929</v>
      </c>
      <c r="E240" s="14" t="n">
        <v>80</v>
      </c>
      <c r="F240" s="10" t="n">
        <f aca="false">E240/'Correction factors'!$B$10</f>
        <v>6.452</v>
      </c>
      <c r="G240" s="11" t="n">
        <v>341</v>
      </c>
    </row>
    <row r="241" customFormat="false" ht="15" hidden="false" customHeight="false" outlineLevel="0" collapsed="false">
      <c r="A241" s="10" t="n">
        <v>51.0403175354004</v>
      </c>
      <c r="B241" s="11" t="n">
        <v>200</v>
      </c>
      <c r="C241" s="12" t="n">
        <f aca="false">B241*'Correction factors'!$B$7</f>
        <v>967.8</v>
      </c>
      <c r="D241" s="13" t="n">
        <v>5.242929</v>
      </c>
      <c r="E241" s="14" t="n">
        <v>88</v>
      </c>
      <c r="F241" s="10" t="n">
        <f aca="false">E241/'Correction factors'!$B$10</f>
        <v>7.0972</v>
      </c>
      <c r="G241" s="11" t="n">
        <v>341</v>
      </c>
    </row>
    <row r="242" customFormat="false" ht="15" hidden="false" customHeight="false" outlineLevel="0" collapsed="false">
      <c r="A242" s="10" t="n">
        <v>51.0403175354004</v>
      </c>
      <c r="B242" s="11" t="n">
        <v>200</v>
      </c>
      <c r="C242" s="12" t="n">
        <f aca="false">B242*'Correction factors'!$B$7</f>
        <v>967.8</v>
      </c>
      <c r="D242" s="13" t="n">
        <v>5.233108</v>
      </c>
      <c r="E242" s="14" t="n">
        <v>80</v>
      </c>
      <c r="F242" s="10" t="n">
        <f aca="false">E242/'Correction factors'!$B$10</f>
        <v>6.452</v>
      </c>
      <c r="G242" s="11" t="n">
        <v>341</v>
      </c>
    </row>
    <row r="243" customFormat="false" ht="15" hidden="false" customHeight="false" outlineLevel="0" collapsed="false">
      <c r="A243" s="10" t="n">
        <v>51.4856700897217</v>
      </c>
      <c r="B243" s="11" t="n">
        <v>200</v>
      </c>
      <c r="C243" s="12" t="n">
        <f aca="false">B243*'Correction factors'!$B$7</f>
        <v>967.8</v>
      </c>
      <c r="D243" s="13" t="n">
        <v>5.233108</v>
      </c>
      <c r="E243" s="14" t="n">
        <v>88</v>
      </c>
      <c r="F243" s="10" t="n">
        <f aca="false">E243/'Correction factors'!$B$10</f>
        <v>7.0972</v>
      </c>
      <c r="G243" s="11" t="n">
        <v>341</v>
      </c>
    </row>
    <row r="244" customFormat="false" ht="15" hidden="false" customHeight="false" outlineLevel="0" collapsed="false">
      <c r="A244" s="10" t="n">
        <v>51.4856700897217</v>
      </c>
      <c r="B244" s="11" t="n">
        <v>220</v>
      </c>
      <c r="C244" s="12" t="n">
        <f aca="false">B244*'Correction factors'!$B$7</f>
        <v>1064.58</v>
      </c>
      <c r="D244" s="13" t="n">
        <v>5.233108</v>
      </c>
      <c r="E244" s="14" t="n">
        <v>80</v>
      </c>
      <c r="F244" s="10" t="n">
        <f aca="false">E244/'Correction factors'!$B$10</f>
        <v>6.452</v>
      </c>
      <c r="G244" s="11" t="n">
        <v>340</v>
      </c>
    </row>
    <row r="245" customFormat="false" ht="15" hidden="false" customHeight="false" outlineLevel="0" collapsed="false">
      <c r="A245" s="10" t="n">
        <v>51.9570333957672</v>
      </c>
      <c r="B245" s="11" t="n">
        <v>200</v>
      </c>
      <c r="C245" s="12" t="n">
        <f aca="false">B245*'Correction factors'!$B$7</f>
        <v>967.8</v>
      </c>
      <c r="D245" s="13" t="n">
        <v>5.233108</v>
      </c>
      <c r="E245" s="14" t="n">
        <v>88</v>
      </c>
      <c r="F245" s="10" t="n">
        <f aca="false">E245/'Correction factors'!$B$10</f>
        <v>7.0972</v>
      </c>
      <c r="G245" s="11" t="n">
        <v>339</v>
      </c>
    </row>
    <row r="246" customFormat="false" ht="15" hidden="false" customHeight="false" outlineLevel="0" collapsed="false">
      <c r="A246" s="10" t="n">
        <v>51.9570333957672</v>
      </c>
      <c r="B246" s="11" t="n">
        <v>200</v>
      </c>
      <c r="C246" s="12" t="n">
        <f aca="false">B246*'Correction factors'!$B$7</f>
        <v>967.8</v>
      </c>
      <c r="D246" s="13" t="n">
        <v>5.223286</v>
      </c>
      <c r="E246" s="14" t="n">
        <v>80</v>
      </c>
      <c r="F246" s="10" t="n">
        <f aca="false">E246/'Correction factors'!$B$10</f>
        <v>6.452</v>
      </c>
      <c r="G246" s="11" t="n">
        <v>339</v>
      </c>
    </row>
    <row r="247" customFormat="false" ht="15" hidden="false" customHeight="false" outlineLevel="0" collapsed="false">
      <c r="A247" s="10" t="n">
        <v>51.9570333957672</v>
      </c>
      <c r="B247" s="11" t="n">
        <v>200</v>
      </c>
      <c r="C247" s="12" t="n">
        <f aca="false">B247*'Correction factors'!$B$7</f>
        <v>967.8</v>
      </c>
      <c r="D247" s="13" t="n">
        <v>5.233108</v>
      </c>
      <c r="E247" s="14" t="n">
        <v>88</v>
      </c>
      <c r="F247" s="10" t="n">
        <f aca="false">E247/'Correction factors'!$B$10</f>
        <v>7.0972</v>
      </c>
      <c r="G247" s="11" t="n">
        <v>339</v>
      </c>
    </row>
    <row r="248" customFormat="false" ht="15" hidden="false" customHeight="false" outlineLevel="0" collapsed="false">
      <c r="A248" s="10" t="n">
        <v>52.427877664566</v>
      </c>
      <c r="B248" s="11" t="n">
        <v>200</v>
      </c>
      <c r="C248" s="12" t="n">
        <f aca="false">B248*'Correction factors'!$B$7</f>
        <v>967.8</v>
      </c>
      <c r="D248" s="13" t="n">
        <v>5.213464</v>
      </c>
      <c r="E248" s="14" t="n">
        <v>80</v>
      </c>
      <c r="F248" s="10" t="n">
        <f aca="false">E248/'Correction factors'!$B$10</f>
        <v>6.452</v>
      </c>
      <c r="G248" s="11" t="n">
        <v>339</v>
      </c>
    </row>
    <row r="249" customFormat="false" ht="15" hidden="false" customHeight="false" outlineLevel="0" collapsed="false">
      <c r="A249" s="10" t="n">
        <v>52.427877664566</v>
      </c>
      <c r="B249" s="11" t="n">
        <v>200</v>
      </c>
      <c r="C249" s="12" t="n">
        <f aca="false">B249*'Correction factors'!$B$7</f>
        <v>967.8</v>
      </c>
      <c r="D249" s="13" t="n">
        <v>5.213464</v>
      </c>
      <c r="E249" s="14" t="n">
        <v>88</v>
      </c>
      <c r="F249" s="10" t="n">
        <f aca="false">E249/'Correction factors'!$B$10</f>
        <v>7.0972</v>
      </c>
      <c r="G249" s="11" t="n">
        <v>339</v>
      </c>
    </row>
    <row r="250" customFormat="false" ht="15" hidden="false" customHeight="false" outlineLevel="0" collapsed="false">
      <c r="A250" s="10" t="n">
        <v>52.8588299751282</v>
      </c>
      <c r="B250" s="11" t="n">
        <v>200</v>
      </c>
      <c r="C250" s="12" t="n">
        <f aca="false">B250*'Correction factors'!$B$7</f>
        <v>967.8</v>
      </c>
      <c r="D250" s="13" t="n">
        <v>5.203642</v>
      </c>
      <c r="E250" s="14" t="n">
        <v>80</v>
      </c>
      <c r="F250" s="10" t="n">
        <f aca="false">E250/'Correction factors'!$B$10</f>
        <v>6.452</v>
      </c>
      <c r="G250" s="11" t="n">
        <v>339</v>
      </c>
    </row>
    <row r="251" customFormat="false" ht="15" hidden="false" customHeight="false" outlineLevel="0" collapsed="false">
      <c r="A251" s="10" t="n">
        <v>52.8588299751282</v>
      </c>
      <c r="B251" s="11" t="n">
        <v>200</v>
      </c>
      <c r="C251" s="12" t="n">
        <f aca="false">B251*'Correction factors'!$B$7</f>
        <v>967.8</v>
      </c>
      <c r="D251" s="13" t="n">
        <v>5.213464</v>
      </c>
      <c r="E251" s="14" t="n">
        <v>80</v>
      </c>
      <c r="F251" s="10" t="n">
        <f aca="false">E251/'Correction factors'!$B$10</f>
        <v>6.452</v>
      </c>
      <c r="G251" s="11" t="n">
        <v>339</v>
      </c>
    </row>
    <row r="252" customFormat="false" ht="15" hidden="false" customHeight="false" outlineLevel="0" collapsed="false">
      <c r="A252" s="10" t="n">
        <v>53.2970480918884</v>
      </c>
      <c r="B252" s="11" t="n">
        <v>200</v>
      </c>
      <c r="C252" s="12" t="n">
        <f aca="false">B252*'Correction factors'!$B$7</f>
        <v>967.8</v>
      </c>
      <c r="D252" s="13" t="n">
        <v>5.203642</v>
      </c>
      <c r="E252" s="14" t="n">
        <v>80</v>
      </c>
      <c r="F252" s="10" t="n">
        <f aca="false">E252/'Correction factors'!$B$10</f>
        <v>6.452</v>
      </c>
      <c r="G252" s="11" t="n">
        <v>339</v>
      </c>
    </row>
    <row r="253" customFormat="false" ht="15" hidden="false" customHeight="false" outlineLevel="0" collapsed="false">
      <c r="A253" s="10" t="n">
        <v>53.2970480918884</v>
      </c>
      <c r="B253" s="11" t="n">
        <v>200</v>
      </c>
      <c r="C253" s="12" t="n">
        <f aca="false">B253*'Correction factors'!$B$7</f>
        <v>967.8</v>
      </c>
      <c r="D253" s="13" t="n">
        <v>5.203642</v>
      </c>
      <c r="E253" s="14" t="n">
        <v>88</v>
      </c>
      <c r="F253" s="10" t="n">
        <f aca="false">E253/'Correction factors'!$B$10</f>
        <v>7.0972</v>
      </c>
      <c r="G253" s="11" t="n">
        <v>339</v>
      </c>
    </row>
    <row r="254" customFormat="false" ht="15" hidden="false" customHeight="false" outlineLevel="0" collapsed="false">
      <c r="A254" s="10" t="n">
        <v>53.7403120994568</v>
      </c>
      <c r="B254" s="11" t="n">
        <v>200</v>
      </c>
      <c r="C254" s="12" t="n">
        <f aca="false">B254*'Correction factors'!$B$7</f>
        <v>967.8</v>
      </c>
      <c r="D254" s="13" t="n">
        <v>5.203642</v>
      </c>
      <c r="E254" s="14" t="n">
        <v>80</v>
      </c>
      <c r="F254" s="10" t="n">
        <f aca="false">E254/'Correction factors'!$B$10</f>
        <v>6.452</v>
      </c>
      <c r="G254" s="11" t="n">
        <v>339</v>
      </c>
    </row>
    <row r="255" customFormat="false" ht="15" hidden="false" customHeight="false" outlineLevel="0" collapsed="false">
      <c r="A255" s="10" t="n">
        <v>53.7403120994568</v>
      </c>
      <c r="B255" s="11" t="n">
        <v>200</v>
      </c>
      <c r="C255" s="12" t="n">
        <f aca="false">B255*'Correction factors'!$B$7</f>
        <v>967.8</v>
      </c>
      <c r="D255" s="13" t="n">
        <v>5.203642</v>
      </c>
      <c r="E255" s="14" t="n">
        <v>80</v>
      </c>
      <c r="F255" s="10" t="n">
        <f aca="false">E255/'Correction factors'!$B$10</f>
        <v>6.452</v>
      </c>
      <c r="G255" s="11" t="n">
        <v>339</v>
      </c>
    </row>
    <row r="256" customFormat="false" ht="15" hidden="false" customHeight="false" outlineLevel="0" collapsed="false">
      <c r="A256" s="10" t="n">
        <v>54.1731390953064</v>
      </c>
      <c r="B256" s="11" t="n">
        <v>200</v>
      </c>
      <c r="C256" s="12" t="n">
        <f aca="false">B256*'Correction factors'!$B$7</f>
        <v>967.8</v>
      </c>
      <c r="D256" s="13" t="n">
        <v>5.193821</v>
      </c>
      <c r="E256" s="14" t="n">
        <v>80</v>
      </c>
      <c r="F256" s="10" t="n">
        <f aca="false">E256/'Correction factors'!$B$10</f>
        <v>6.452</v>
      </c>
      <c r="G256" s="11" t="n">
        <v>339</v>
      </c>
    </row>
    <row r="257" customFormat="false" ht="15" hidden="false" customHeight="false" outlineLevel="0" collapsed="false">
      <c r="A257" s="10" t="n">
        <v>54.1731390953064</v>
      </c>
      <c r="B257" s="11" t="n">
        <v>200</v>
      </c>
      <c r="C257" s="12" t="n">
        <f aca="false">B257*'Correction factors'!$B$7</f>
        <v>967.8</v>
      </c>
      <c r="D257" s="13" t="n">
        <v>5.184</v>
      </c>
      <c r="E257" s="14" t="n">
        <v>88</v>
      </c>
      <c r="F257" s="10" t="n">
        <f aca="false">E257/'Correction factors'!$B$10</f>
        <v>7.0972</v>
      </c>
      <c r="G257" s="11" t="n">
        <v>339</v>
      </c>
    </row>
    <row r="258" customFormat="false" ht="15" hidden="false" customHeight="false" outlineLevel="0" collapsed="false">
      <c r="A258" s="10" t="n">
        <v>54.6065669059753</v>
      </c>
      <c r="B258" s="11" t="n">
        <v>200</v>
      </c>
      <c r="C258" s="12" t="n">
        <f aca="false">B258*'Correction factors'!$B$7</f>
        <v>967.8</v>
      </c>
      <c r="D258" s="13" t="n">
        <v>5.184</v>
      </c>
      <c r="E258" s="14" t="n">
        <v>80</v>
      </c>
      <c r="F258" s="10" t="n">
        <f aca="false">E258/'Correction factors'!$B$10</f>
        <v>6.452</v>
      </c>
      <c r="G258" s="11" t="n">
        <v>339</v>
      </c>
    </row>
    <row r="259" customFormat="false" ht="15" hidden="false" customHeight="false" outlineLevel="0" collapsed="false">
      <c r="A259" s="10" t="n">
        <v>54.6065669059753</v>
      </c>
      <c r="B259" s="11" t="n">
        <v>180</v>
      </c>
      <c r="C259" s="12" t="n">
        <f aca="false">B259*'Correction factors'!$B$7</f>
        <v>871.02</v>
      </c>
      <c r="D259" s="13" t="n">
        <v>5.184</v>
      </c>
      <c r="E259" s="14" t="n">
        <v>80</v>
      </c>
      <c r="F259" s="10" t="n">
        <f aca="false">E259/'Correction factors'!$B$10</f>
        <v>6.452</v>
      </c>
      <c r="G259" s="11" t="n">
        <v>339</v>
      </c>
    </row>
    <row r="260" customFormat="false" ht="15" hidden="false" customHeight="false" outlineLevel="0" collapsed="false">
      <c r="A260" s="10" t="n">
        <v>54.6065669059753</v>
      </c>
      <c r="B260" s="11" t="n">
        <v>200</v>
      </c>
      <c r="C260" s="12" t="n">
        <f aca="false">B260*'Correction factors'!$B$7</f>
        <v>967.8</v>
      </c>
      <c r="D260" s="13" t="n">
        <v>5.174178</v>
      </c>
      <c r="E260" s="14" t="n">
        <v>80</v>
      </c>
      <c r="F260" s="10" t="n">
        <f aca="false">E260/'Correction factors'!$B$10</f>
        <v>6.452</v>
      </c>
      <c r="G260" s="11" t="n">
        <v>342</v>
      </c>
    </row>
    <row r="261" customFormat="false" ht="15" hidden="false" customHeight="false" outlineLevel="0" collapsed="false">
      <c r="A261" s="10" t="n">
        <v>55.1060128211975</v>
      </c>
      <c r="B261" s="11" t="n">
        <v>180</v>
      </c>
      <c r="C261" s="12" t="n">
        <f aca="false">B261*'Correction factors'!$B$7</f>
        <v>871.02</v>
      </c>
      <c r="D261" s="13" t="n">
        <v>5.164356</v>
      </c>
      <c r="E261" s="14" t="n">
        <v>80</v>
      </c>
      <c r="F261" s="10" t="n">
        <f aca="false">E261/'Correction factors'!$B$10</f>
        <v>6.452</v>
      </c>
      <c r="G261" s="11" t="n">
        <v>341</v>
      </c>
    </row>
    <row r="262" customFormat="false" ht="15" hidden="false" customHeight="false" outlineLevel="0" collapsed="false">
      <c r="A262" s="10" t="n">
        <v>55.1060128211975</v>
      </c>
      <c r="B262" s="11" t="n">
        <v>180</v>
      </c>
      <c r="C262" s="12" t="n">
        <f aca="false">B262*'Correction factors'!$B$7</f>
        <v>871.02</v>
      </c>
      <c r="D262" s="13" t="n">
        <v>5.174178</v>
      </c>
      <c r="E262" s="14" t="n">
        <v>80</v>
      </c>
      <c r="F262" s="10" t="n">
        <f aca="false">E262/'Correction factors'!$B$10</f>
        <v>6.452</v>
      </c>
      <c r="G262" s="11" t="n">
        <v>342</v>
      </c>
    </row>
    <row r="263" customFormat="false" ht="15" hidden="false" customHeight="false" outlineLevel="0" collapsed="false">
      <c r="A263" s="10" t="n">
        <v>55.5530047416687</v>
      </c>
      <c r="B263" s="11" t="n">
        <v>180</v>
      </c>
      <c r="C263" s="12" t="n">
        <f aca="false">B263*'Correction factors'!$B$7</f>
        <v>871.02</v>
      </c>
      <c r="D263" s="13" t="n">
        <v>5.174178</v>
      </c>
      <c r="E263" s="14" t="n">
        <v>80</v>
      </c>
      <c r="F263" s="10" t="n">
        <f aca="false">E263/'Correction factors'!$B$10</f>
        <v>6.452</v>
      </c>
      <c r="G263" s="11" t="n">
        <v>345</v>
      </c>
    </row>
    <row r="264" customFormat="false" ht="15" hidden="false" customHeight="false" outlineLevel="0" collapsed="false">
      <c r="A264" s="10" t="n">
        <v>55.5530047416687</v>
      </c>
      <c r="B264" s="11" t="n">
        <v>180</v>
      </c>
      <c r="C264" s="12" t="n">
        <f aca="false">B264*'Correction factors'!$B$7</f>
        <v>871.02</v>
      </c>
      <c r="D264" s="13" t="n">
        <v>5.164356</v>
      </c>
      <c r="E264" s="14" t="n">
        <v>88</v>
      </c>
      <c r="F264" s="10" t="n">
        <f aca="false">E264/'Correction factors'!$B$10</f>
        <v>7.0972</v>
      </c>
      <c r="G264" s="11" t="n">
        <v>345</v>
      </c>
    </row>
    <row r="265" customFormat="false" ht="15" hidden="false" customHeight="false" outlineLevel="0" collapsed="false">
      <c r="A265" s="10" t="n">
        <v>55.9987318515778</v>
      </c>
      <c r="B265" s="11" t="n">
        <v>180</v>
      </c>
      <c r="C265" s="12" t="n">
        <f aca="false">B265*'Correction factors'!$B$7</f>
        <v>871.02</v>
      </c>
      <c r="D265" s="13" t="n">
        <v>5.154535</v>
      </c>
      <c r="E265" s="14" t="n">
        <v>80</v>
      </c>
      <c r="F265" s="10" t="n">
        <f aca="false">E265/'Correction factors'!$B$10</f>
        <v>6.452</v>
      </c>
      <c r="G265" s="11" t="n">
        <v>345</v>
      </c>
    </row>
    <row r="266" customFormat="false" ht="15" hidden="false" customHeight="false" outlineLevel="0" collapsed="false">
      <c r="A266" s="10" t="n">
        <v>55.9987318515778</v>
      </c>
      <c r="B266" s="11" t="n">
        <v>200</v>
      </c>
      <c r="C266" s="12" t="n">
        <f aca="false">B266*'Correction factors'!$B$7</f>
        <v>967.8</v>
      </c>
      <c r="D266" s="13" t="n">
        <v>5.164356</v>
      </c>
      <c r="E266" s="14" t="n">
        <v>80</v>
      </c>
      <c r="F266" s="10" t="n">
        <f aca="false">E266/'Correction factors'!$B$10</f>
        <v>6.452</v>
      </c>
      <c r="G266" s="11" t="n">
        <v>345</v>
      </c>
    </row>
    <row r="267" customFormat="false" ht="15" hidden="false" customHeight="false" outlineLevel="0" collapsed="false">
      <c r="A267" s="10" t="n">
        <v>56.4814739227295</v>
      </c>
      <c r="B267" s="11" t="n">
        <v>180</v>
      </c>
      <c r="C267" s="12" t="n">
        <f aca="false">B267*'Correction factors'!$B$7</f>
        <v>871.02</v>
      </c>
      <c r="D267" s="13" t="n">
        <v>5.154535</v>
      </c>
      <c r="E267" s="14" t="n">
        <v>80</v>
      </c>
      <c r="F267" s="10" t="n">
        <f aca="false">E267/'Correction factors'!$B$10</f>
        <v>6.452</v>
      </c>
      <c r="G267" s="11" t="n">
        <v>344</v>
      </c>
    </row>
    <row r="268" customFormat="false" ht="15" hidden="false" customHeight="false" outlineLevel="0" collapsed="false">
      <c r="A268" s="10" t="n">
        <v>56.4814739227295</v>
      </c>
      <c r="B268" s="11" t="n">
        <v>180</v>
      </c>
      <c r="C268" s="12" t="n">
        <f aca="false">B268*'Correction factors'!$B$7</f>
        <v>871.02</v>
      </c>
      <c r="D268" s="13" t="n">
        <v>5.144713</v>
      </c>
      <c r="E268" s="14" t="n">
        <v>80</v>
      </c>
      <c r="F268" s="10" t="n">
        <f aca="false">E268/'Correction factors'!$B$10</f>
        <v>6.452</v>
      </c>
      <c r="G268" s="11" t="n">
        <v>344</v>
      </c>
    </row>
    <row r="269" customFormat="false" ht="15" hidden="false" customHeight="false" outlineLevel="0" collapsed="false">
      <c r="A269" s="10" t="n">
        <v>56.4814739227295</v>
      </c>
      <c r="B269" s="11" t="n">
        <v>180</v>
      </c>
      <c r="C269" s="12" t="n">
        <f aca="false">B269*'Correction factors'!$B$7</f>
        <v>871.02</v>
      </c>
      <c r="D269" s="13" t="n">
        <v>5.134892</v>
      </c>
      <c r="E269" s="14" t="n">
        <v>80</v>
      </c>
      <c r="F269" s="10" t="n">
        <f aca="false">E269/'Correction factors'!$B$10</f>
        <v>6.452</v>
      </c>
      <c r="G269" s="11" t="n">
        <v>347</v>
      </c>
    </row>
    <row r="270" customFormat="false" ht="15" hidden="false" customHeight="false" outlineLevel="0" collapsed="false">
      <c r="A270" s="10" t="n">
        <v>56.9559540748596</v>
      </c>
      <c r="B270" s="11" t="n">
        <v>180</v>
      </c>
      <c r="C270" s="12" t="n">
        <f aca="false">B270*'Correction factors'!$B$7</f>
        <v>871.02</v>
      </c>
      <c r="D270" s="13" t="n">
        <v>5.144713</v>
      </c>
      <c r="E270" s="14" t="n">
        <v>80</v>
      </c>
      <c r="F270" s="10" t="n">
        <f aca="false">E270/'Correction factors'!$B$10</f>
        <v>6.452</v>
      </c>
      <c r="G270" s="11" t="n">
        <v>347</v>
      </c>
    </row>
    <row r="271" customFormat="false" ht="15" hidden="false" customHeight="false" outlineLevel="0" collapsed="false">
      <c r="A271" s="10" t="n">
        <v>56.9559540748596</v>
      </c>
      <c r="B271" s="11" t="n">
        <v>180</v>
      </c>
      <c r="C271" s="12" t="n">
        <f aca="false">B271*'Correction factors'!$B$7</f>
        <v>871.02</v>
      </c>
      <c r="D271" s="13" t="n">
        <v>5.134892</v>
      </c>
      <c r="E271" s="14" t="n">
        <v>80</v>
      </c>
      <c r="F271" s="10" t="n">
        <f aca="false">E271/'Correction factors'!$B$10</f>
        <v>6.452</v>
      </c>
      <c r="G271" s="11" t="n">
        <v>348</v>
      </c>
    </row>
    <row r="272" customFormat="false" ht="15" hidden="false" customHeight="false" outlineLevel="0" collapsed="false">
      <c r="A272" s="10" t="n">
        <v>57.3880052566528</v>
      </c>
      <c r="B272" s="11" t="n">
        <v>180</v>
      </c>
      <c r="C272" s="12" t="n">
        <f aca="false">B272*'Correction factors'!$B$7</f>
        <v>871.02</v>
      </c>
      <c r="D272" s="13" t="n">
        <v>5.12507</v>
      </c>
      <c r="E272" s="14" t="n">
        <v>80</v>
      </c>
      <c r="F272" s="10" t="n">
        <f aca="false">E272/'Correction factors'!$B$10</f>
        <v>6.452</v>
      </c>
      <c r="G272" s="11" t="n">
        <v>349</v>
      </c>
    </row>
    <row r="273" customFormat="false" ht="15" hidden="false" customHeight="false" outlineLevel="0" collapsed="false">
      <c r="A273" s="10" t="n">
        <v>57.3880052566528</v>
      </c>
      <c r="B273" s="11" t="n">
        <v>180</v>
      </c>
      <c r="C273" s="12" t="n">
        <f aca="false">B273*'Correction factors'!$B$7</f>
        <v>871.02</v>
      </c>
      <c r="D273" s="13" t="n">
        <v>5.12507</v>
      </c>
      <c r="E273" s="14" t="n">
        <v>80</v>
      </c>
      <c r="F273" s="10" t="n">
        <f aca="false">E273/'Correction factors'!$B$10</f>
        <v>6.452</v>
      </c>
      <c r="G273" s="11" t="n">
        <v>350</v>
      </c>
    </row>
    <row r="274" customFormat="false" ht="15" hidden="false" customHeight="false" outlineLevel="0" collapsed="false">
      <c r="A274" s="10" t="n">
        <v>57.8178250789642</v>
      </c>
      <c r="B274" s="11" t="n">
        <v>180</v>
      </c>
      <c r="C274" s="12" t="n">
        <f aca="false">B274*'Correction factors'!$B$7</f>
        <v>871.02</v>
      </c>
      <c r="D274" s="13" t="n">
        <v>5.12507</v>
      </c>
      <c r="E274" s="14" t="n">
        <v>88</v>
      </c>
      <c r="F274" s="10" t="n">
        <f aca="false">E274/'Correction factors'!$B$10</f>
        <v>7.0972</v>
      </c>
      <c r="G274" s="11" t="n">
        <v>350</v>
      </c>
    </row>
    <row r="275" customFormat="false" ht="15" hidden="false" customHeight="false" outlineLevel="0" collapsed="false">
      <c r="A275" s="10" t="n">
        <v>57.8178250789642</v>
      </c>
      <c r="B275" s="11" t="n">
        <v>200</v>
      </c>
      <c r="C275" s="12" t="n">
        <f aca="false">B275*'Correction factors'!$B$7</f>
        <v>967.8</v>
      </c>
      <c r="D275" s="13" t="n">
        <v>5.115248</v>
      </c>
      <c r="E275" s="14" t="n">
        <v>80</v>
      </c>
      <c r="F275" s="10" t="n">
        <f aca="false">E275/'Correction factors'!$B$10</f>
        <v>6.452</v>
      </c>
      <c r="G275" s="11" t="n">
        <v>350</v>
      </c>
    </row>
    <row r="276" customFormat="false" ht="15" hidden="false" customHeight="false" outlineLevel="0" collapsed="false">
      <c r="A276" s="10" t="n">
        <v>58.2519731521606</v>
      </c>
      <c r="B276" s="11" t="n">
        <v>180</v>
      </c>
      <c r="C276" s="12" t="n">
        <f aca="false">B276*'Correction factors'!$B$7</f>
        <v>871.02</v>
      </c>
      <c r="D276" s="13" t="n">
        <v>5.105427</v>
      </c>
      <c r="E276" s="14" t="n">
        <v>80</v>
      </c>
      <c r="F276" s="10" t="n">
        <f aca="false">E276/'Correction factors'!$B$10</f>
        <v>6.452</v>
      </c>
      <c r="G276" s="11" t="n">
        <v>349</v>
      </c>
    </row>
    <row r="277" customFormat="false" ht="15" hidden="false" customHeight="false" outlineLevel="0" collapsed="false">
      <c r="A277" s="10" t="n">
        <v>58.2519731521606</v>
      </c>
      <c r="B277" s="11" t="n">
        <v>200</v>
      </c>
      <c r="C277" s="12" t="n">
        <f aca="false">B277*'Correction factors'!$B$7</f>
        <v>967.8</v>
      </c>
      <c r="D277" s="13" t="n">
        <v>5.105427</v>
      </c>
      <c r="E277" s="14" t="n">
        <v>80</v>
      </c>
      <c r="F277" s="10" t="n">
        <f aca="false">E277/'Correction factors'!$B$10</f>
        <v>6.452</v>
      </c>
      <c r="G277" s="11" t="n">
        <v>349</v>
      </c>
    </row>
    <row r="278" customFormat="false" ht="15" hidden="false" customHeight="false" outlineLevel="0" collapsed="false">
      <c r="A278" s="10" t="n">
        <v>58.6825399398804</v>
      </c>
      <c r="B278" s="11" t="n">
        <v>180</v>
      </c>
      <c r="C278" s="12" t="n">
        <f aca="false">B278*'Correction factors'!$B$7</f>
        <v>871.02</v>
      </c>
      <c r="D278" s="13" t="n">
        <v>5.095605</v>
      </c>
      <c r="E278" s="14" t="n">
        <v>80</v>
      </c>
      <c r="F278" s="10" t="n">
        <f aca="false">E278/'Correction factors'!$B$10</f>
        <v>6.452</v>
      </c>
      <c r="G278" s="11" t="n">
        <v>349</v>
      </c>
    </row>
    <row r="279" customFormat="false" ht="15" hidden="false" customHeight="false" outlineLevel="0" collapsed="false">
      <c r="A279" s="10" t="n">
        <v>58.6825399398804</v>
      </c>
      <c r="B279" s="11" t="n">
        <v>180</v>
      </c>
      <c r="C279" s="12" t="n">
        <f aca="false">B279*'Correction factors'!$B$7</f>
        <v>871.02</v>
      </c>
      <c r="D279" s="13" t="n">
        <v>5.095605</v>
      </c>
      <c r="E279" s="14" t="n">
        <v>80</v>
      </c>
      <c r="F279" s="10" t="n">
        <f aca="false">E279/'Correction factors'!$B$10</f>
        <v>6.452</v>
      </c>
      <c r="G279" s="11" t="n">
        <v>350</v>
      </c>
    </row>
    <row r="280" customFormat="false" ht="15" hidden="false" customHeight="false" outlineLevel="0" collapsed="false">
      <c r="A280" s="10" t="n">
        <v>59.1183331012726</v>
      </c>
      <c r="B280" s="11" t="n">
        <v>180</v>
      </c>
      <c r="C280" s="12" t="n">
        <f aca="false">B280*'Correction factors'!$B$7</f>
        <v>871.02</v>
      </c>
      <c r="D280" s="13" t="n">
        <v>5.095605</v>
      </c>
      <c r="E280" s="14" t="n">
        <v>80</v>
      </c>
      <c r="F280" s="10" t="n">
        <f aca="false">E280/'Correction factors'!$B$10</f>
        <v>6.452</v>
      </c>
      <c r="G280" s="11" t="n">
        <v>351</v>
      </c>
    </row>
    <row r="281" customFormat="false" ht="15" hidden="false" customHeight="false" outlineLevel="0" collapsed="false">
      <c r="A281" s="10" t="n">
        <v>59.1183331012726</v>
      </c>
      <c r="B281" s="11" t="n">
        <v>180</v>
      </c>
      <c r="C281" s="12" t="n">
        <f aca="false">B281*'Correction factors'!$B$7</f>
        <v>871.02</v>
      </c>
      <c r="D281" s="13" t="n">
        <v>5.085783</v>
      </c>
      <c r="E281" s="14" t="n">
        <v>80</v>
      </c>
      <c r="F281" s="10" t="n">
        <f aca="false">E281/'Correction factors'!$B$10</f>
        <v>6.452</v>
      </c>
      <c r="G281" s="11" t="n">
        <v>352</v>
      </c>
    </row>
    <row r="282" customFormat="false" ht="15" hidden="false" customHeight="false" outlineLevel="0" collapsed="false">
      <c r="A282" s="10" t="n">
        <v>59.564156293869</v>
      </c>
      <c r="B282" s="11" t="n">
        <v>180</v>
      </c>
      <c r="C282" s="12" t="n">
        <f aca="false">B282*'Correction factors'!$B$7</f>
        <v>871.02</v>
      </c>
      <c r="D282" s="13" t="n">
        <v>5.085783</v>
      </c>
      <c r="E282" s="14" t="n">
        <v>80</v>
      </c>
      <c r="F282" s="10" t="n">
        <f aca="false">E282/'Correction factors'!$B$10</f>
        <v>6.452</v>
      </c>
      <c r="G282" s="11" t="n">
        <v>354</v>
      </c>
    </row>
    <row r="283" customFormat="false" ht="15" hidden="false" customHeight="false" outlineLevel="0" collapsed="false">
      <c r="A283" s="10" t="n">
        <v>59.564156293869</v>
      </c>
      <c r="B283" s="11" t="n">
        <v>180</v>
      </c>
      <c r="C283" s="12" t="n">
        <f aca="false">B283*'Correction factors'!$B$7</f>
        <v>871.02</v>
      </c>
      <c r="D283" s="13" t="n">
        <v>5.075962</v>
      </c>
      <c r="E283" s="14" t="n">
        <v>80</v>
      </c>
      <c r="F283" s="10" t="n">
        <f aca="false">E283/'Correction factors'!$B$10</f>
        <v>6.452</v>
      </c>
      <c r="G283" s="11" t="n">
        <v>354</v>
      </c>
    </row>
    <row r="284" customFormat="false" ht="15" hidden="false" customHeight="false" outlineLevel="0" collapsed="false">
      <c r="A284" s="10" t="n">
        <v>59.564156293869</v>
      </c>
      <c r="B284" s="11" t="n">
        <v>200</v>
      </c>
      <c r="C284" s="12" t="n">
        <f aca="false">B284*'Correction factors'!$B$7</f>
        <v>967.8</v>
      </c>
      <c r="D284" s="13" t="n">
        <v>5.075962</v>
      </c>
      <c r="E284" s="14" t="n">
        <v>88</v>
      </c>
      <c r="F284" s="10" t="n">
        <f aca="false">E284/'Correction factors'!$B$10</f>
        <v>7.0972</v>
      </c>
      <c r="G284" s="11" t="n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5"/>
    <col collapsed="false" customWidth="true" hidden="false" outlineLevel="0" max="6" min="5" style="0" width="20"/>
    <col collapsed="false" customWidth="true" hidden="false" outlineLevel="0" max="7" min="7" style="0" width="15"/>
  </cols>
  <sheetData>
    <row r="1" customFormat="false" ht="30" hidden="false" customHeight="tru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</row>
    <row r="2" customFormat="false" ht="15" hidden="false" customHeight="false" outlineLevel="0" collapsed="false">
      <c r="A2" s="10" t="n">
        <v>1.39008808135986</v>
      </c>
      <c r="B2" s="11" t="n">
        <v>0</v>
      </c>
      <c r="C2" s="12" t="n">
        <f aca="false">B2*'Correction factors'!$B$7</f>
        <v>0</v>
      </c>
      <c r="D2" s="13" t="n">
        <v>1.05893</v>
      </c>
      <c r="E2" s="14" t="n">
        <v>0</v>
      </c>
      <c r="F2" s="10" t="n">
        <f aca="false">E2/'Correction factors'!$B$10</f>
        <v>0</v>
      </c>
      <c r="G2" s="11" t="n">
        <v>508</v>
      </c>
    </row>
    <row r="3" customFormat="false" ht="15" hidden="false" customHeight="false" outlineLevel="0" collapsed="false">
      <c r="A3" s="10" t="n">
        <v>1.82291555404663</v>
      </c>
      <c r="B3" s="11" t="n">
        <v>0</v>
      </c>
      <c r="C3" s="12" t="n">
        <f aca="false">B3*'Correction factors'!$B$7</f>
        <v>0</v>
      </c>
      <c r="D3" s="13" t="n">
        <v>1.05893</v>
      </c>
      <c r="E3" s="14" t="n">
        <v>0</v>
      </c>
      <c r="F3" s="10" t="n">
        <f aca="false">E3/'Correction factors'!$B$10</f>
        <v>0</v>
      </c>
      <c r="G3" s="11" t="n">
        <v>238</v>
      </c>
    </row>
    <row r="4" customFormat="false" ht="15" hidden="false" customHeight="false" outlineLevel="0" collapsed="false">
      <c r="A4" s="10" t="n">
        <v>1.82291555404663</v>
      </c>
      <c r="B4" s="11" t="n">
        <v>0</v>
      </c>
      <c r="C4" s="12" t="n">
        <f aca="false">B4*'Correction factors'!$B$7</f>
        <v>0</v>
      </c>
      <c r="D4" s="13" t="n">
        <v>1.049108</v>
      </c>
      <c r="E4" s="14" t="n">
        <v>0</v>
      </c>
      <c r="F4" s="10" t="n">
        <f aca="false">E4/'Correction factors'!$B$10</f>
        <v>0</v>
      </c>
      <c r="G4" s="11" t="n">
        <v>241</v>
      </c>
    </row>
    <row r="5" customFormat="false" ht="15" hidden="false" customHeight="false" outlineLevel="0" collapsed="false">
      <c r="A5" s="10" t="n">
        <v>2.32042002677918</v>
      </c>
      <c r="B5" s="11" t="n">
        <v>0</v>
      </c>
      <c r="C5" s="12" t="n">
        <f aca="false">B5*'Correction factors'!$B$7</f>
        <v>0</v>
      </c>
      <c r="D5" s="13" t="n">
        <v>1.049108</v>
      </c>
      <c r="E5" s="14" t="n">
        <v>0</v>
      </c>
      <c r="F5" s="10" t="n">
        <f aca="false">E5/'Correction factors'!$B$10</f>
        <v>0</v>
      </c>
      <c r="G5" s="11" t="n">
        <v>249</v>
      </c>
    </row>
    <row r="6" customFormat="false" ht="15" hidden="false" customHeight="false" outlineLevel="0" collapsed="false">
      <c r="A6" s="10" t="n">
        <v>2.32042002677918</v>
      </c>
      <c r="B6" s="11" t="n">
        <v>0</v>
      </c>
      <c r="C6" s="12" t="n">
        <f aca="false">B6*'Correction factors'!$B$7</f>
        <v>0</v>
      </c>
      <c r="D6" s="13" t="n">
        <v>1.049108</v>
      </c>
      <c r="E6" s="14" t="n">
        <v>0</v>
      </c>
      <c r="F6" s="10" t="n">
        <f aca="false">E6/'Correction factors'!$B$10</f>
        <v>0</v>
      </c>
      <c r="G6" s="11" t="n">
        <v>250</v>
      </c>
    </row>
    <row r="7" customFormat="false" ht="15" hidden="false" customHeight="false" outlineLevel="0" collapsed="false">
      <c r="A7" s="10" t="n">
        <v>2.32042002677918</v>
      </c>
      <c r="B7" s="11" t="n">
        <v>0</v>
      </c>
      <c r="C7" s="12" t="n">
        <f aca="false">B7*'Correction factors'!$B$7</f>
        <v>0</v>
      </c>
      <c r="D7" s="13" t="n">
        <v>1.05893</v>
      </c>
      <c r="E7" s="14" t="n">
        <v>0</v>
      </c>
      <c r="F7" s="10" t="n">
        <f aca="false">E7/'Correction factors'!$B$10</f>
        <v>0</v>
      </c>
      <c r="G7" s="11" t="n">
        <v>256</v>
      </c>
    </row>
    <row r="8" customFormat="false" ht="15" hidden="false" customHeight="false" outlineLevel="0" collapsed="false">
      <c r="A8" s="10" t="n">
        <v>2.77071714401245</v>
      </c>
      <c r="B8" s="11" t="n">
        <v>0</v>
      </c>
      <c r="C8" s="12" t="n">
        <f aca="false">B8*'Correction factors'!$B$7</f>
        <v>0</v>
      </c>
      <c r="D8" s="13" t="n">
        <v>1.049108</v>
      </c>
      <c r="E8" s="14" t="n">
        <v>0</v>
      </c>
      <c r="F8" s="10" t="n">
        <f aca="false">E8/'Correction factors'!$B$10</f>
        <v>0</v>
      </c>
      <c r="G8" s="11" t="n">
        <v>266</v>
      </c>
    </row>
    <row r="9" customFormat="false" ht="15" hidden="false" customHeight="false" outlineLevel="0" collapsed="false">
      <c r="A9" s="10" t="n">
        <v>2.77071714401245</v>
      </c>
      <c r="B9" s="11" t="n">
        <v>0</v>
      </c>
      <c r="C9" s="12" t="n">
        <f aca="false">B9*'Correction factors'!$B$7</f>
        <v>0</v>
      </c>
      <c r="D9" s="13" t="n">
        <v>1.049108</v>
      </c>
      <c r="E9" s="14" t="n">
        <v>0</v>
      </c>
      <c r="F9" s="10" t="n">
        <f aca="false">E9/'Correction factors'!$B$10</f>
        <v>0</v>
      </c>
      <c r="G9" s="11" t="n">
        <v>269</v>
      </c>
    </row>
    <row r="10" customFormat="false" ht="15" hidden="false" customHeight="false" outlineLevel="0" collapsed="false">
      <c r="A10" s="10" t="n">
        <v>3.19779658317566</v>
      </c>
      <c r="B10" s="11" t="n">
        <v>0</v>
      </c>
      <c r="C10" s="12" t="n">
        <f aca="false">B10*'Correction factors'!$B$7</f>
        <v>0</v>
      </c>
      <c r="D10" s="13" t="n">
        <v>1.049108</v>
      </c>
      <c r="E10" s="14" t="n">
        <v>0</v>
      </c>
      <c r="F10" s="10" t="n">
        <f aca="false">E10/'Correction factors'!$B$10</f>
        <v>0</v>
      </c>
      <c r="G10" s="11" t="n">
        <v>279</v>
      </c>
    </row>
    <row r="11" customFormat="false" ht="15" hidden="false" customHeight="false" outlineLevel="0" collapsed="false">
      <c r="A11" s="10" t="n">
        <v>3.19779658317566</v>
      </c>
      <c r="B11" s="11" t="n">
        <v>0</v>
      </c>
      <c r="C11" s="12" t="n">
        <f aca="false">B11*'Correction factors'!$B$7</f>
        <v>0</v>
      </c>
      <c r="D11" s="13" t="n">
        <v>1.05893</v>
      </c>
      <c r="E11" s="14" t="n">
        <v>0</v>
      </c>
      <c r="F11" s="10" t="n">
        <f aca="false">E11/'Correction factors'!$B$10</f>
        <v>0</v>
      </c>
      <c r="G11" s="11" t="n">
        <v>278</v>
      </c>
    </row>
    <row r="12" customFormat="false" ht="15" hidden="false" customHeight="false" outlineLevel="0" collapsed="false">
      <c r="A12" s="10" t="n">
        <v>3.64550065994263</v>
      </c>
      <c r="B12" s="11" t="n">
        <v>0</v>
      </c>
      <c r="C12" s="12" t="n">
        <f aca="false">B12*'Correction factors'!$B$7</f>
        <v>0</v>
      </c>
      <c r="D12" s="13" t="n">
        <v>1.049108</v>
      </c>
      <c r="E12" s="14" t="n">
        <v>0</v>
      </c>
      <c r="F12" s="10" t="n">
        <f aca="false">E12/'Correction factors'!$B$10</f>
        <v>0</v>
      </c>
      <c r="G12" s="11" t="n">
        <v>291</v>
      </c>
    </row>
    <row r="13" customFormat="false" ht="15" hidden="false" customHeight="false" outlineLevel="0" collapsed="false">
      <c r="A13" s="10" t="n">
        <v>3.64550065994263</v>
      </c>
      <c r="B13" s="11" t="n">
        <v>0</v>
      </c>
      <c r="C13" s="12" t="n">
        <f aca="false">B13*'Correction factors'!$B$7</f>
        <v>0</v>
      </c>
      <c r="D13" s="13" t="n">
        <v>1.05893</v>
      </c>
      <c r="E13" s="14" t="n">
        <v>0</v>
      </c>
      <c r="F13" s="10" t="n">
        <f aca="false">E13/'Correction factors'!$B$10</f>
        <v>0</v>
      </c>
      <c r="G13" s="11" t="n">
        <v>293</v>
      </c>
    </row>
    <row r="14" customFormat="false" ht="15" hidden="false" customHeight="false" outlineLevel="0" collapsed="false">
      <c r="A14" s="10" t="n">
        <v>4.10608124732971</v>
      </c>
      <c r="B14" s="11" t="n">
        <v>0</v>
      </c>
      <c r="C14" s="12" t="n">
        <f aca="false">B14*'Correction factors'!$B$7</f>
        <v>0</v>
      </c>
      <c r="D14" s="13" t="n">
        <v>1.05893</v>
      </c>
      <c r="E14" s="14" t="n">
        <v>0</v>
      </c>
      <c r="F14" s="10" t="n">
        <f aca="false">E14/'Correction factors'!$B$10</f>
        <v>0</v>
      </c>
      <c r="G14" s="11" t="n">
        <v>303</v>
      </c>
    </row>
    <row r="15" customFormat="false" ht="15" hidden="false" customHeight="false" outlineLevel="0" collapsed="false">
      <c r="A15" s="10" t="n">
        <v>4.10608124732971</v>
      </c>
      <c r="B15" s="11" t="n">
        <v>0</v>
      </c>
      <c r="C15" s="12" t="n">
        <f aca="false">B15*'Correction factors'!$B$7</f>
        <v>0</v>
      </c>
      <c r="D15" s="13" t="n">
        <v>1.05893</v>
      </c>
      <c r="E15" s="14" t="n">
        <v>0</v>
      </c>
      <c r="F15" s="10" t="n">
        <f aca="false">E15/'Correction factors'!$B$10</f>
        <v>0</v>
      </c>
      <c r="G15" s="11" t="n">
        <v>305</v>
      </c>
    </row>
    <row r="16" customFormat="false" ht="15" hidden="false" customHeight="false" outlineLevel="0" collapsed="false">
      <c r="A16" s="10" t="n">
        <v>4.56436109542847</v>
      </c>
      <c r="B16" s="11" t="n">
        <v>0</v>
      </c>
      <c r="C16" s="12" t="n">
        <f aca="false">B16*'Correction factors'!$B$7</f>
        <v>0</v>
      </c>
      <c r="D16" s="13" t="n">
        <v>1.05893</v>
      </c>
      <c r="E16" s="14" t="n">
        <v>0</v>
      </c>
      <c r="F16" s="10" t="n">
        <f aca="false">E16/'Correction factors'!$B$10</f>
        <v>0</v>
      </c>
      <c r="G16" s="11" t="n">
        <v>316</v>
      </c>
    </row>
    <row r="17" customFormat="false" ht="15" hidden="false" customHeight="false" outlineLevel="0" collapsed="false">
      <c r="A17" s="10" t="n">
        <v>4.56436109542847</v>
      </c>
      <c r="B17" s="11" t="n">
        <v>0</v>
      </c>
      <c r="C17" s="12" t="n">
        <f aca="false">B17*'Correction factors'!$B$7</f>
        <v>0</v>
      </c>
      <c r="D17" s="13" t="n">
        <v>1.05893</v>
      </c>
      <c r="E17" s="14" t="n">
        <v>0</v>
      </c>
      <c r="F17" s="10" t="n">
        <f aca="false">E17/'Correction factors'!$B$10</f>
        <v>0</v>
      </c>
      <c r="G17" s="11" t="n">
        <v>317</v>
      </c>
    </row>
    <row r="18" customFormat="false" ht="15" hidden="false" customHeight="false" outlineLevel="0" collapsed="false">
      <c r="A18" s="10" t="n">
        <v>4.56436109542847</v>
      </c>
      <c r="B18" s="11" t="n">
        <v>0</v>
      </c>
      <c r="C18" s="12" t="n">
        <f aca="false">B18*'Correction factors'!$B$7</f>
        <v>0</v>
      </c>
      <c r="D18" s="13" t="n">
        <v>1.05893</v>
      </c>
      <c r="E18" s="14" t="n">
        <v>0</v>
      </c>
      <c r="F18" s="10" t="n">
        <f aca="false">E18/'Correction factors'!$B$10</f>
        <v>0</v>
      </c>
      <c r="G18" s="11" t="n">
        <v>327</v>
      </c>
    </row>
    <row r="19" customFormat="false" ht="15" hidden="false" customHeight="false" outlineLevel="0" collapsed="false">
      <c r="A19" s="10" t="n">
        <v>5.02311253547669</v>
      </c>
      <c r="B19" s="11" t="n">
        <v>0</v>
      </c>
      <c r="C19" s="12" t="n">
        <f aca="false">B19*'Correction factors'!$B$7</f>
        <v>0</v>
      </c>
      <c r="D19" s="13" t="n">
        <v>1.049108</v>
      </c>
      <c r="E19" s="14" t="n">
        <v>0</v>
      </c>
      <c r="F19" s="10" t="n">
        <f aca="false">E19/'Correction factors'!$B$10</f>
        <v>0</v>
      </c>
      <c r="G19" s="11" t="n">
        <v>335</v>
      </c>
    </row>
    <row r="20" customFormat="false" ht="15" hidden="false" customHeight="false" outlineLevel="0" collapsed="false">
      <c r="A20" s="10" t="n">
        <v>5.02311253547669</v>
      </c>
      <c r="B20" s="11" t="n">
        <v>0</v>
      </c>
      <c r="C20" s="12" t="n">
        <f aca="false">B20*'Correction factors'!$B$7</f>
        <v>0</v>
      </c>
      <c r="D20" s="13" t="n">
        <v>1.05893</v>
      </c>
      <c r="E20" s="14" t="n">
        <v>0</v>
      </c>
      <c r="F20" s="10" t="n">
        <f aca="false">E20/'Correction factors'!$B$10</f>
        <v>0</v>
      </c>
      <c r="G20" s="11" t="n">
        <v>337</v>
      </c>
    </row>
    <row r="21" customFormat="false" ht="15" hidden="false" customHeight="false" outlineLevel="0" collapsed="false">
      <c r="A21" s="10" t="n">
        <v>5.47258496284485</v>
      </c>
      <c r="B21" s="11" t="n">
        <v>0</v>
      </c>
      <c r="C21" s="12" t="n">
        <f aca="false">B21*'Correction factors'!$B$7</f>
        <v>0</v>
      </c>
      <c r="D21" s="13" t="n">
        <v>1.049108</v>
      </c>
      <c r="E21" s="14" t="n">
        <v>0</v>
      </c>
      <c r="F21" s="10" t="n">
        <f aca="false">E21/'Correction factors'!$B$10</f>
        <v>0</v>
      </c>
      <c r="G21" s="11" t="n">
        <v>347</v>
      </c>
    </row>
    <row r="22" customFormat="false" ht="15" hidden="false" customHeight="false" outlineLevel="0" collapsed="false">
      <c r="A22" s="10" t="n">
        <v>5.47258496284485</v>
      </c>
      <c r="B22" s="11" t="n">
        <v>0</v>
      </c>
      <c r="C22" s="12" t="n">
        <f aca="false">B22*'Correction factors'!$B$7</f>
        <v>0</v>
      </c>
      <c r="D22" s="13" t="n">
        <v>1.05893</v>
      </c>
      <c r="E22" s="14" t="n">
        <v>0</v>
      </c>
      <c r="F22" s="10" t="n">
        <f aca="false">E22/'Correction factors'!$B$10</f>
        <v>0</v>
      </c>
      <c r="G22" s="11" t="n">
        <v>349</v>
      </c>
    </row>
    <row r="23" customFormat="false" ht="15" hidden="false" customHeight="false" outlineLevel="0" collapsed="false">
      <c r="A23" s="10" t="n">
        <v>5.91517663002014</v>
      </c>
      <c r="B23" s="11" t="n">
        <v>0</v>
      </c>
      <c r="C23" s="12" t="n">
        <f aca="false">B23*'Correction factors'!$B$7</f>
        <v>0</v>
      </c>
      <c r="D23" s="13" t="n">
        <v>1.05893</v>
      </c>
      <c r="E23" s="14" t="n">
        <v>0</v>
      </c>
      <c r="F23" s="10" t="n">
        <f aca="false">E23/'Correction factors'!$B$10</f>
        <v>0</v>
      </c>
      <c r="G23" s="11" t="n">
        <v>359</v>
      </c>
    </row>
    <row r="24" customFormat="false" ht="15" hidden="false" customHeight="false" outlineLevel="0" collapsed="false">
      <c r="A24" s="10" t="n">
        <v>5.91517663002014</v>
      </c>
      <c r="B24" s="11" t="n">
        <v>0</v>
      </c>
      <c r="C24" s="12" t="n">
        <f aca="false">B24*'Correction factors'!$B$7</f>
        <v>0</v>
      </c>
      <c r="D24" s="13" t="n">
        <v>1.049108</v>
      </c>
      <c r="E24" s="14" t="n">
        <v>0</v>
      </c>
      <c r="F24" s="10" t="n">
        <f aca="false">E24/'Correction factors'!$B$10</f>
        <v>0</v>
      </c>
      <c r="G24" s="11" t="n">
        <v>363</v>
      </c>
    </row>
    <row r="25" customFormat="false" ht="15" hidden="false" customHeight="false" outlineLevel="0" collapsed="false">
      <c r="A25" s="10" t="n">
        <v>6.36998414993286</v>
      </c>
      <c r="B25" s="11" t="n">
        <v>0</v>
      </c>
      <c r="C25" s="12" t="n">
        <f aca="false">B25*'Correction factors'!$B$7</f>
        <v>0</v>
      </c>
      <c r="D25" s="13" t="n">
        <v>1.049108</v>
      </c>
      <c r="E25" s="14" t="n">
        <v>0</v>
      </c>
      <c r="F25" s="10" t="n">
        <f aca="false">E25/'Correction factors'!$B$10</f>
        <v>0</v>
      </c>
      <c r="G25" s="11" t="n">
        <v>372</v>
      </c>
    </row>
    <row r="26" customFormat="false" ht="15" hidden="false" customHeight="false" outlineLevel="0" collapsed="false">
      <c r="A26" s="10" t="n">
        <v>6.36998414993286</v>
      </c>
      <c r="B26" s="11" t="n">
        <v>0</v>
      </c>
      <c r="C26" s="12" t="n">
        <f aca="false">B26*'Correction factors'!$B$7</f>
        <v>0</v>
      </c>
      <c r="D26" s="13" t="n">
        <v>1.05893</v>
      </c>
      <c r="E26" s="14" t="n">
        <v>0</v>
      </c>
      <c r="F26" s="10" t="n">
        <f aca="false">E26/'Correction factors'!$B$10</f>
        <v>0</v>
      </c>
      <c r="G26" s="11" t="n">
        <v>374</v>
      </c>
    </row>
    <row r="27" customFormat="false" ht="15" hidden="false" customHeight="false" outlineLevel="0" collapsed="false">
      <c r="A27" s="10" t="n">
        <v>6.87474465370178</v>
      </c>
      <c r="B27" s="11" t="n">
        <v>0</v>
      </c>
      <c r="C27" s="12" t="n">
        <f aca="false">B27*'Correction factors'!$B$7</f>
        <v>0</v>
      </c>
      <c r="D27" s="13" t="n">
        <v>1.049108</v>
      </c>
      <c r="E27" s="14" t="n">
        <v>0</v>
      </c>
      <c r="F27" s="10" t="n">
        <f aca="false">E27/'Correction factors'!$B$10</f>
        <v>0</v>
      </c>
      <c r="G27" s="11" t="n">
        <v>386</v>
      </c>
    </row>
    <row r="28" customFormat="false" ht="15" hidden="false" customHeight="false" outlineLevel="0" collapsed="false">
      <c r="A28" s="10" t="n">
        <v>6.87474465370178</v>
      </c>
      <c r="B28" s="11" t="n">
        <v>0</v>
      </c>
      <c r="C28" s="12" t="n">
        <f aca="false">B28*'Correction factors'!$B$7</f>
        <v>0</v>
      </c>
      <c r="D28" s="13" t="n">
        <v>1.05893</v>
      </c>
      <c r="E28" s="14" t="n">
        <v>0</v>
      </c>
      <c r="F28" s="10" t="n">
        <f aca="false">E28/'Correction factors'!$B$10</f>
        <v>0</v>
      </c>
      <c r="G28" s="11" t="n">
        <v>388</v>
      </c>
    </row>
    <row r="29" customFormat="false" ht="15" hidden="false" customHeight="false" outlineLevel="0" collapsed="false">
      <c r="A29" s="10" t="n">
        <v>6.87474465370178</v>
      </c>
      <c r="B29" s="11" t="n">
        <v>0</v>
      </c>
      <c r="C29" s="12" t="n">
        <f aca="false">B29*'Correction factors'!$B$7</f>
        <v>0</v>
      </c>
      <c r="D29" s="13" t="n">
        <v>1.039286</v>
      </c>
      <c r="E29" s="14" t="n">
        <v>0</v>
      </c>
      <c r="F29" s="10" t="n">
        <f aca="false">E29/'Correction factors'!$B$10</f>
        <v>0</v>
      </c>
      <c r="G29" s="11" t="n">
        <v>395</v>
      </c>
    </row>
    <row r="30" customFormat="false" ht="15" hidden="false" customHeight="false" outlineLevel="0" collapsed="false">
      <c r="A30" s="10" t="n">
        <v>7.37688446044922</v>
      </c>
      <c r="B30" s="11" t="n">
        <v>0</v>
      </c>
      <c r="C30" s="12" t="n">
        <f aca="false">B30*'Correction factors'!$B$7</f>
        <v>0</v>
      </c>
      <c r="D30" s="13" t="n">
        <v>1.049108</v>
      </c>
      <c r="E30" s="14" t="n">
        <v>0</v>
      </c>
      <c r="F30" s="10" t="n">
        <f aca="false">E30/'Correction factors'!$B$10</f>
        <v>0</v>
      </c>
      <c r="G30" s="11" t="n">
        <v>404</v>
      </c>
    </row>
    <row r="31" customFormat="false" ht="15" hidden="false" customHeight="false" outlineLevel="0" collapsed="false">
      <c r="A31" s="10" t="n">
        <v>7.37688446044922</v>
      </c>
      <c r="B31" s="11" t="n">
        <v>0</v>
      </c>
      <c r="C31" s="12" t="n">
        <f aca="false">B31*'Correction factors'!$B$7</f>
        <v>0</v>
      </c>
      <c r="D31" s="13" t="n">
        <v>1.039286</v>
      </c>
      <c r="E31" s="14" t="n">
        <v>0</v>
      </c>
      <c r="F31" s="10" t="n">
        <f aca="false">E31/'Correction factors'!$B$10</f>
        <v>0</v>
      </c>
      <c r="G31" s="11" t="n">
        <v>406</v>
      </c>
    </row>
    <row r="32" customFormat="false" ht="15" hidden="false" customHeight="false" outlineLevel="0" collapsed="false">
      <c r="A32" s="10" t="n">
        <v>7.83934712409973</v>
      </c>
      <c r="B32" s="11" t="n">
        <v>0</v>
      </c>
      <c r="C32" s="12" t="n">
        <f aca="false">B32*'Correction factors'!$B$7</f>
        <v>0</v>
      </c>
      <c r="D32" s="13" t="n">
        <v>1.05893</v>
      </c>
      <c r="E32" s="14" t="n">
        <v>0</v>
      </c>
      <c r="F32" s="10" t="n">
        <f aca="false">E32/'Correction factors'!$B$10</f>
        <v>0</v>
      </c>
      <c r="G32" s="11" t="n">
        <v>416</v>
      </c>
    </row>
    <row r="33" customFormat="false" ht="15" hidden="false" customHeight="false" outlineLevel="0" collapsed="false">
      <c r="A33" s="10" t="n">
        <v>7.83934712409973</v>
      </c>
      <c r="B33" s="11" t="n">
        <v>0</v>
      </c>
      <c r="C33" s="12" t="n">
        <f aca="false">B33*'Correction factors'!$B$7</f>
        <v>0</v>
      </c>
      <c r="D33" s="13" t="n">
        <v>1.049108</v>
      </c>
      <c r="E33" s="14" t="n">
        <v>0</v>
      </c>
      <c r="F33" s="10" t="n">
        <f aca="false">E33/'Correction factors'!$B$10</f>
        <v>0</v>
      </c>
      <c r="G33" s="11" t="n">
        <v>418</v>
      </c>
    </row>
    <row r="34" customFormat="false" ht="15" hidden="false" customHeight="false" outlineLevel="0" collapsed="false">
      <c r="A34" s="10" t="n">
        <v>7.83934712409973</v>
      </c>
      <c r="B34" s="11" t="n">
        <v>0</v>
      </c>
      <c r="C34" s="12" t="n">
        <f aca="false">B34*'Correction factors'!$B$7</f>
        <v>0</v>
      </c>
      <c r="D34" s="13" t="n">
        <v>1.05893</v>
      </c>
      <c r="E34" s="14" t="n">
        <v>0</v>
      </c>
      <c r="F34" s="10" t="n">
        <f aca="false">E34/'Correction factors'!$B$10</f>
        <v>0</v>
      </c>
      <c r="G34" s="11" t="n">
        <v>430</v>
      </c>
    </row>
    <row r="35" customFormat="false" ht="15" hidden="false" customHeight="false" outlineLevel="0" collapsed="false">
      <c r="A35" s="10" t="n">
        <v>8.35853457450867</v>
      </c>
      <c r="B35" s="11" t="n">
        <v>0</v>
      </c>
      <c r="C35" s="12" t="n">
        <f aca="false">B35*'Correction factors'!$B$7</f>
        <v>0</v>
      </c>
      <c r="D35" s="13" t="n">
        <v>1.049108</v>
      </c>
      <c r="E35" s="14" t="n">
        <v>0</v>
      </c>
      <c r="F35" s="10" t="n">
        <f aca="false">E35/'Correction factors'!$B$10</f>
        <v>0</v>
      </c>
      <c r="G35" s="11" t="n">
        <v>435</v>
      </c>
    </row>
    <row r="36" customFormat="false" ht="15" hidden="false" customHeight="false" outlineLevel="0" collapsed="false">
      <c r="A36" s="10" t="n">
        <v>8.35853457450867</v>
      </c>
      <c r="B36" s="11" t="n">
        <v>0</v>
      </c>
      <c r="C36" s="12" t="n">
        <f aca="false">B36*'Correction factors'!$B$7</f>
        <v>0</v>
      </c>
      <c r="D36" s="13" t="n">
        <v>1.05893</v>
      </c>
      <c r="E36" s="14" t="n">
        <v>0</v>
      </c>
      <c r="F36" s="10" t="n">
        <f aca="false">E36/'Correction factors'!$B$10</f>
        <v>0</v>
      </c>
      <c r="G36" s="11" t="n">
        <v>439</v>
      </c>
    </row>
    <row r="37" customFormat="false" ht="15" hidden="false" customHeight="false" outlineLevel="0" collapsed="false">
      <c r="A37" s="10" t="n">
        <v>8.8059561252594</v>
      </c>
      <c r="B37" s="11" t="n">
        <v>0</v>
      </c>
      <c r="C37" s="12" t="n">
        <f aca="false">B37*'Correction factors'!$B$7</f>
        <v>0</v>
      </c>
      <c r="D37" s="13" t="n">
        <v>1.049108</v>
      </c>
      <c r="E37" s="14" t="n">
        <v>0</v>
      </c>
      <c r="F37" s="10" t="n">
        <f aca="false">E37/'Correction factors'!$B$10</f>
        <v>0</v>
      </c>
      <c r="G37" s="11" t="n">
        <v>447</v>
      </c>
    </row>
    <row r="38" customFormat="false" ht="15" hidden="false" customHeight="false" outlineLevel="0" collapsed="false">
      <c r="A38" s="10" t="n">
        <v>8.8059561252594</v>
      </c>
      <c r="B38" s="11" t="n">
        <v>0</v>
      </c>
      <c r="C38" s="12" t="n">
        <f aca="false">B38*'Correction factors'!$B$7</f>
        <v>0</v>
      </c>
      <c r="D38" s="13" t="n">
        <v>1.039286</v>
      </c>
      <c r="E38" s="14" t="n">
        <v>0</v>
      </c>
      <c r="F38" s="10" t="n">
        <f aca="false">E38/'Correction factors'!$B$10</f>
        <v>0</v>
      </c>
      <c r="G38" s="11" t="n">
        <v>449</v>
      </c>
    </row>
    <row r="39" customFormat="false" ht="15" hidden="false" customHeight="false" outlineLevel="0" collapsed="false">
      <c r="A39" s="10" t="n">
        <v>9.23887753486633</v>
      </c>
      <c r="B39" s="11" t="n">
        <v>0</v>
      </c>
      <c r="C39" s="12" t="n">
        <f aca="false">B39*'Correction factors'!$B$7</f>
        <v>0</v>
      </c>
      <c r="D39" s="13" t="n">
        <v>1.068751</v>
      </c>
      <c r="E39" s="14" t="n">
        <v>0</v>
      </c>
      <c r="F39" s="10" t="n">
        <f aca="false">E39/'Correction factors'!$B$10</f>
        <v>0</v>
      </c>
      <c r="G39" s="11" t="n">
        <v>461</v>
      </c>
    </row>
    <row r="40" customFormat="false" ht="15" hidden="false" customHeight="false" outlineLevel="0" collapsed="false">
      <c r="A40" s="10" t="n">
        <v>9.23887753486633</v>
      </c>
      <c r="B40" s="11" t="n">
        <v>0</v>
      </c>
      <c r="C40" s="12" t="n">
        <f aca="false">B40*'Correction factors'!$B$7</f>
        <v>0</v>
      </c>
      <c r="D40" s="13" t="n">
        <v>1.049108</v>
      </c>
      <c r="E40" s="14" t="n">
        <v>0</v>
      </c>
      <c r="F40" s="10" t="n">
        <f aca="false">E40/'Correction factors'!$B$10</f>
        <v>0</v>
      </c>
      <c r="G40" s="11" t="n">
        <v>464</v>
      </c>
    </row>
    <row r="41" customFormat="false" ht="15" hidden="false" customHeight="false" outlineLevel="0" collapsed="false">
      <c r="A41" s="10" t="n">
        <v>9.65854620933533</v>
      </c>
      <c r="B41" s="11" t="n">
        <v>0</v>
      </c>
      <c r="C41" s="12" t="n">
        <f aca="false">B41*'Correction factors'!$B$7</f>
        <v>0</v>
      </c>
      <c r="D41" s="13" t="n">
        <v>1.550009</v>
      </c>
      <c r="E41" s="14" t="n">
        <v>8</v>
      </c>
      <c r="F41" s="10" t="n">
        <f aca="false">E41/'Correction factors'!$B$10</f>
        <v>0.6452</v>
      </c>
      <c r="G41" s="11" t="n">
        <v>471</v>
      </c>
    </row>
    <row r="42" customFormat="false" ht="15" hidden="false" customHeight="false" outlineLevel="0" collapsed="false">
      <c r="A42" s="10" t="n">
        <v>9.65854620933533</v>
      </c>
      <c r="B42" s="11" t="n">
        <v>0</v>
      </c>
      <c r="C42" s="12" t="n">
        <f aca="false">B42*'Correction factors'!$B$7</f>
        <v>0</v>
      </c>
      <c r="D42" s="13" t="n">
        <v>1.73662</v>
      </c>
      <c r="E42" s="14" t="n">
        <v>200</v>
      </c>
      <c r="F42" s="10" t="n">
        <f aca="false">E42/'Correction factors'!$B$10</f>
        <v>16.13</v>
      </c>
      <c r="G42" s="11" t="n">
        <v>475</v>
      </c>
    </row>
    <row r="43" customFormat="false" ht="15" hidden="false" customHeight="false" outlineLevel="0" collapsed="false">
      <c r="A43" s="10" t="n">
        <v>10.0750074386597</v>
      </c>
      <c r="B43" s="11" t="n">
        <v>0</v>
      </c>
      <c r="C43" s="12" t="n">
        <f aca="false">B43*'Correction factors'!$B$7</f>
        <v>0</v>
      </c>
      <c r="D43" s="13" t="n">
        <v>1.8643</v>
      </c>
      <c r="E43" s="14" t="n">
        <v>296</v>
      </c>
      <c r="F43" s="10" t="n">
        <f aca="false">E43/'Correction factors'!$B$10</f>
        <v>23.8724</v>
      </c>
      <c r="G43" s="11" t="n">
        <v>484</v>
      </c>
    </row>
    <row r="44" customFormat="false" ht="15" hidden="false" customHeight="false" outlineLevel="0" collapsed="false">
      <c r="A44" s="10" t="n">
        <v>10.0750074386597</v>
      </c>
      <c r="B44" s="11" t="n">
        <v>0</v>
      </c>
      <c r="C44" s="12" t="n">
        <f aca="false">B44*'Correction factors'!$B$7</f>
        <v>0</v>
      </c>
      <c r="D44" s="13" t="n">
        <v>1.98216</v>
      </c>
      <c r="E44" s="14" t="n">
        <v>352</v>
      </c>
      <c r="F44" s="10" t="n">
        <f aca="false">E44/'Correction factors'!$B$10</f>
        <v>28.3888</v>
      </c>
      <c r="G44" s="11" t="n">
        <v>488</v>
      </c>
    </row>
    <row r="45" customFormat="false" ht="15" hidden="false" customHeight="false" outlineLevel="0" collapsed="false">
      <c r="A45" s="10" t="n">
        <v>10.5056898593903</v>
      </c>
      <c r="B45" s="11" t="n">
        <v>0</v>
      </c>
      <c r="C45" s="12" t="n">
        <f aca="false">B45*'Correction factors'!$B$7</f>
        <v>0</v>
      </c>
      <c r="D45" s="13" t="n">
        <v>2.10984</v>
      </c>
      <c r="E45" s="14" t="n">
        <v>392</v>
      </c>
      <c r="F45" s="10" t="n">
        <f aca="false">E45/'Correction factors'!$B$10</f>
        <v>31.6148</v>
      </c>
      <c r="G45" s="11" t="n">
        <v>496</v>
      </c>
    </row>
    <row r="46" customFormat="false" ht="15" hidden="false" customHeight="false" outlineLevel="0" collapsed="false">
      <c r="A46" s="10" t="n">
        <v>10.5056898593903</v>
      </c>
      <c r="B46" s="11" t="n">
        <v>0</v>
      </c>
      <c r="C46" s="12" t="n">
        <f aca="false">B46*'Correction factors'!$B$7</f>
        <v>0</v>
      </c>
      <c r="D46" s="13" t="n">
        <v>2.208056</v>
      </c>
      <c r="E46" s="14" t="n">
        <v>424</v>
      </c>
      <c r="F46" s="10" t="n">
        <f aca="false">E46/'Correction factors'!$B$10</f>
        <v>34.1956</v>
      </c>
      <c r="G46" s="11" t="n">
        <v>499</v>
      </c>
    </row>
    <row r="47" customFormat="false" ht="15" hidden="false" customHeight="false" outlineLevel="0" collapsed="false">
      <c r="A47" s="10" t="n">
        <v>10.9437537193298</v>
      </c>
      <c r="B47" s="11" t="n">
        <v>0</v>
      </c>
      <c r="C47" s="12" t="n">
        <f aca="false">B47*'Correction factors'!$B$7</f>
        <v>0</v>
      </c>
      <c r="D47" s="13" t="n">
        <v>2.296451</v>
      </c>
      <c r="E47" s="14" t="n">
        <v>448</v>
      </c>
      <c r="F47" s="10" t="n">
        <f aca="false">E47/'Correction factors'!$B$10</f>
        <v>36.1312</v>
      </c>
      <c r="G47" s="11" t="n">
        <v>510</v>
      </c>
    </row>
    <row r="48" customFormat="false" ht="15" hidden="false" customHeight="false" outlineLevel="0" collapsed="false">
      <c r="A48" s="10" t="n">
        <v>10.9437537193298</v>
      </c>
      <c r="B48" s="11" t="n">
        <v>0</v>
      </c>
      <c r="C48" s="12" t="n">
        <f aca="false">B48*'Correction factors'!$B$7</f>
        <v>0</v>
      </c>
      <c r="D48" s="13" t="n">
        <v>2.365202</v>
      </c>
      <c r="E48" s="14" t="n">
        <v>464</v>
      </c>
      <c r="F48" s="10" t="n">
        <f aca="false">E48/'Correction factors'!$B$10</f>
        <v>37.4216</v>
      </c>
      <c r="G48" s="11" t="n">
        <v>509</v>
      </c>
    </row>
    <row r="49" customFormat="false" ht="15" hidden="false" customHeight="false" outlineLevel="0" collapsed="false">
      <c r="A49" s="10" t="n">
        <v>10.9437537193298</v>
      </c>
      <c r="B49" s="11" t="n">
        <v>0</v>
      </c>
      <c r="C49" s="12" t="n">
        <f aca="false">B49*'Correction factors'!$B$7</f>
        <v>0</v>
      </c>
      <c r="D49" s="13" t="n">
        <v>2.433953</v>
      </c>
      <c r="E49" s="14" t="n">
        <v>488</v>
      </c>
      <c r="F49" s="10" t="n">
        <f aca="false">E49/'Correction factors'!$B$10</f>
        <v>39.3572</v>
      </c>
      <c r="G49" s="11" t="n">
        <v>509</v>
      </c>
    </row>
    <row r="50" customFormat="false" ht="15" hidden="false" customHeight="false" outlineLevel="0" collapsed="false">
      <c r="A50" s="10" t="n">
        <v>11.4643251895905</v>
      </c>
      <c r="B50" s="11" t="n">
        <v>0</v>
      </c>
      <c r="C50" s="12" t="n">
        <f aca="false">B50*'Correction factors'!$B$7</f>
        <v>0</v>
      </c>
      <c r="D50" s="13" t="n">
        <v>2.492883</v>
      </c>
      <c r="E50" s="14" t="n">
        <v>504</v>
      </c>
      <c r="F50" s="10" t="n">
        <f aca="false">E50/'Correction factors'!$B$10</f>
        <v>40.6476</v>
      </c>
      <c r="G50" s="11" t="n">
        <v>509</v>
      </c>
    </row>
    <row r="51" customFormat="false" ht="15" hidden="false" customHeight="false" outlineLevel="0" collapsed="false">
      <c r="A51" s="10" t="n">
        <v>11.4643251895905</v>
      </c>
      <c r="B51" s="11" t="n">
        <v>0</v>
      </c>
      <c r="C51" s="12" t="n">
        <f aca="false">B51*'Correction factors'!$B$7</f>
        <v>0</v>
      </c>
      <c r="D51" s="13" t="n">
        <v>2.54199</v>
      </c>
      <c r="E51" s="14" t="n">
        <v>504</v>
      </c>
      <c r="F51" s="10" t="n">
        <f aca="false">E51/'Correction factors'!$B$10</f>
        <v>40.6476</v>
      </c>
      <c r="G51" s="11" t="n">
        <v>509</v>
      </c>
    </row>
    <row r="52" customFormat="false" ht="15" hidden="false" customHeight="false" outlineLevel="0" collapsed="false">
      <c r="A52" s="10" t="n">
        <v>11.9016201496124</v>
      </c>
      <c r="B52" s="11" t="n">
        <v>0</v>
      </c>
      <c r="C52" s="12" t="n">
        <f aca="false">B52*'Correction factors'!$B$7</f>
        <v>0</v>
      </c>
      <c r="D52" s="13" t="n">
        <v>2.571455</v>
      </c>
      <c r="E52" s="14" t="n">
        <v>520</v>
      </c>
      <c r="F52" s="10" t="n">
        <f aca="false">E52/'Correction factors'!$B$10</f>
        <v>41.938</v>
      </c>
      <c r="G52" s="11" t="n">
        <v>509</v>
      </c>
    </row>
    <row r="53" customFormat="false" ht="15" hidden="false" customHeight="false" outlineLevel="0" collapsed="false">
      <c r="A53" s="10" t="n">
        <v>11.9016201496124</v>
      </c>
      <c r="B53" s="11" t="n">
        <v>140</v>
      </c>
      <c r="C53" s="12" t="n">
        <f aca="false">B53*'Correction factors'!$B$7</f>
        <v>677.46</v>
      </c>
      <c r="D53" s="13" t="n">
        <v>2.60092</v>
      </c>
      <c r="E53" s="14" t="n">
        <v>528</v>
      </c>
      <c r="F53" s="10" t="n">
        <f aca="false">E53/'Correction factors'!$B$10</f>
        <v>42.5832</v>
      </c>
      <c r="G53" s="11" t="n">
        <v>509</v>
      </c>
    </row>
    <row r="54" customFormat="false" ht="15" hidden="false" customHeight="false" outlineLevel="0" collapsed="false">
      <c r="A54" s="10" t="n">
        <v>12.3351442813873</v>
      </c>
      <c r="B54" s="11" t="n">
        <v>580</v>
      </c>
      <c r="C54" s="12" t="n">
        <f aca="false">B54*'Correction factors'!$B$7</f>
        <v>2806.62</v>
      </c>
      <c r="D54" s="13" t="n">
        <v>2.620563</v>
      </c>
      <c r="E54" s="14" t="n">
        <v>528</v>
      </c>
      <c r="F54" s="10" t="n">
        <f aca="false">E54/'Correction factors'!$B$10</f>
        <v>42.5832</v>
      </c>
      <c r="G54" s="11" t="n">
        <v>509</v>
      </c>
    </row>
    <row r="55" customFormat="false" ht="15" hidden="false" customHeight="false" outlineLevel="0" collapsed="false">
      <c r="A55" s="10" t="n">
        <v>12.3351442813873</v>
      </c>
      <c r="B55" s="11" t="n">
        <v>640</v>
      </c>
      <c r="C55" s="12" t="n">
        <f aca="false">B55*'Correction factors'!$B$7</f>
        <v>3096.96</v>
      </c>
      <c r="D55" s="13" t="n">
        <v>2.650028</v>
      </c>
      <c r="E55" s="14" t="n">
        <v>544</v>
      </c>
      <c r="F55" s="10" t="n">
        <f aca="false">E55/'Correction factors'!$B$10</f>
        <v>43.8736</v>
      </c>
      <c r="G55" s="11" t="n">
        <v>491</v>
      </c>
    </row>
    <row r="56" customFormat="false" ht="15" hidden="false" customHeight="false" outlineLevel="0" collapsed="false">
      <c r="A56" s="10" t="n">
        <v>12.779717206955</v>
      </c>
      <c r="B56" s="11" t="n">
        <v>620</v>
      </c>
      <c r="C56" s="12" t="n">
        <f aca="false">B56*'Correction factors'!$B$7</f>
        <v>3000.18</v>
      </c>
      <c r="D56" s="13" t="n">
        <v>2.689314</v>
      </c>
      <c r="E56" s="14" t="n">
        <v>544</v>
      </c>
      <c r="F56" s="10" t="n">
        <f aca="false">E56/'Correction factors'!$B$10</f>
        <v>43.8736</v>
      </c>
      <c r="G56" s="11" t="n">
        <v>424</v>
      </c>
    </row>
    <row r="57" customFormat="false" ht="15" hidden="false" customHeight="false" outlineLevel="0" collapsed="false">
      <c r="A57" s="10" t="n">
        <v>12.779717206955</v>
      </c>
      <c r="B57" s="11" t="n">
        <v>520</v>
      </c>
      <c r="C57" s="12" t="n">
        <f aca="false">B57*'Correction factors'!$B$7</f>
        <v>2516.28</v>
      </c>
      <c r="D57" s="13" t="n">
        <v>2.856282</v>
      </c>
      <c r="E57" s="14" t="n">
        <v>432</v>
      </c>
      <c r="F57" s="10" t="n">
        <f aca="false">E57/'Correction factors'!$B$10</f>
        <v>34.8408</v>
      </c>
      <c r="G57" s="11" t="n">
        <v>418</v>
      </c>
    </row>
    <row r="58" customFormat="false" ht="15" hidden="false" customHeight="false" outlineLevel="0" collapsed="false">
      <c r="A58" s="10" t="n">
        <v>13.230147600174</v>
      </c>
      <c r="B58" s="11" t="n">
        <v>500</v>
      </c>
      <c r="C58" s="12" t="n">
        <f aca="false">B58*'Correction factors'!$B$7</f>
        <v>2419.5</v>
      </c>
      <c r="D58" s="13" t="n">
        <v>2.925033</v>
      </c>
      <c r="E58" s="14" t="n">
        <v>384</v>
      </c>
      <c r="F58" s="10" t="n">
        <f aca="false">E58/'Correction factors'!$B$10</f>
        <v>30.9696</v>
      </c>
      <c r="G58" s="11" t="n">
        <v>420</v>
      </c>
    </row>
    <row r="59" customFormat="false" ht="15" hidden="false" customHeight="false" outlineLevel="0" collapsed="false">
      <c r="A59" s="10" t="n">
        <v>13.230147600174</v>
      </c>
      <c r="B59" s="11" t="n">
        <v>540</v>
      </c>
      <c r="C59" s="12" t="n">
        <f aca="false">B59*'Correction factors'!$B$7</f>
        <v>2613.06</v>
      </c>
      <c r="D59" s="13" t="n">
        <v>3.023248</v>
      </c>
      <c r="E59" s="14" t="n">
        <v>392</v>
      </c>
      <c r="F59" s="10" t="n">
        <f aca="false">E59/'Correction factors'!$B$10</f>
        <v>31.6148</v>
      </c>
      <c r="G59" s="11" t="n">
        <v>416</v>
      </c>
    </row>
    <row r="60" customFormat="false" ht="15" hidden="false" customHeight="false" outlineLevel="0" collapsed="false">
      <c r="A60" s="10" t="n">
        <v>13.230147600174</v>
      </c>
      <c r="B60" s="11" t="n">
        <v>560</v>
      </c>
      <c r="C60" s="12" t="n">
        <f aca="false">B60*'Correction factors'!$B$7</f>
        <v>2709.84</v>
      </c>
      <c r="D60" s="13" t="n">
        <v>3.072357</v>
      </c>
      <c r="E60" s="14" t="n">
        <v>384</v>
      </c>
      <c r="F60" s="10" t="n">
        <f aca="false">E60/'Correction factors'!$B$10</f>
        <v>30.9696</v>
      </c>
      <c r="G60" s="11" t="n">
        <v>404</v>
      </c>
    </row>
    <row r="61" customFormat="false" ht="15" hidden="false" customHeight="false" outlineLevel="0" collapsed="false">
      <c r="A61" s="10" t="n">
        <v>13.7083601951599</v>
      </c>
      <c r="B61" s="11" t="n">
        <v>500</v>
      </c>
      <c r="C61" s="12" t="n">
        <f aca="false">B61*'Correction factors'!$B$7</f>
        <v>2419.5</v>
      </c>
      <c r="D61" s="13" t="n">
        <v>3.268789</v>
      </c>
      <c r="E61" s="14" t="n">
        <v>352</v>
      </c>
      <c r="F61" s="10" t="n">
        <f aca="false">E61/'Correction factors'!$B$10</f>
        <v>28.3888</v>
      </c>
      <c r="G61" s="11" t="n">
        <v>383</v>
      </c>
    </row>
    <row r="62" customFormat="false" ht="15" hidden="false" customHeight="false" outlineLevel="0" collapsed="false">
      <c r="A62" s="10" t="n">
        <v>13.7083601951599</v>
      </c>
      <c r="B62" s="11" t="n">
        <v>440</v>
      </c>
      <c r="C62" s="12" t="n">
        <f aca="false">B62*'Correction factors'!$B$7</f>
        <v>2129.16</v>
      </c>
      <c r="D62" s="13" t="n">
        <v>3.386647</v>
      </c>
      <c r="E62" s="14" t="n">
        <v>280</v>
      </c>
      <c r="F62" s="10" t="n">
        <f aca="false">E62/'Correction factors'!$B$10</f>
        <v>22.582</v>
      </c>
      <c r="G62" s="11" t="n">
        <v>383</v>
      </c>
    </row>
    <row r="63" customFormat="false" ht="15" hidden="false" customHeight="false" outlineLevel="0" collapsed="false">
      <c r="A63" s="10" t="n">
        <v>14.1573922634125</v>
      </c>
      <c r="B63" s="11" t="n">
        <v>440</v>
      </c>
      <c r="C63" s="12" t="n">
        <f aca="false">B63*'Correction factors'!$B$7</f>
        <v>2129.16</v>
      </c>
      <c r="D63" s="13" t="n">
        <v>3.484864</v>
      </c>
      <c r="E63" s="14" t="n">
        <v>272</v>
      </c>
      <c r="F63" s="10" t="n">
        <f aca="false">E63/'Correction factors'!$B$10</f>
        <v>21.9368</v>
      </c>
      <c r="G63" s="11" t="n">
        <v>383</v>
      </c>
    </row>
    <row r="64" customFormat="false" ht="15" hidden="false" customHeight="false" outlineLevel="0" collapsed="false">
      <c r="A64" s="10" t="n">
        <v>14.1573922634125</v>
      </c>
      <c r="B64" s="11" t="n">
        <v>440</v>
      </c>
      <c r="C64" s="12" t="n">
        <f aca="false">B64*'Correction factors'!$B$7</f>
        <v>2129.16</v>
      </c>
      <c r="D64" s="13" t="n">
        <v>3.563436</v>
      </c>
      <c r="E64" s="14" t="n">
        <v>280</v>
      </c>
      <c r="F64" s="10" t="n">
        <f aca="false">E64/'Correction factors'!$B$10</f>
        <v>22.582</v>
      </c>
      <c r="G64" s="11" t="n">
        <v>380</v>
      </c>
    </row>
    <row r="65" customFormat="false" ht="15" hidden="false" customHeight="false" outlineLevel="0" collapsed="false">
      <c r="A65" s="10" t="n">
        <v>14.620808839798</v>
      </c>
      <c r="B65" s="11" t="n">
        <v>460</v>
      </c>
      <c r="C65" s="12" t="n">
        <f aca="false">B65*'Correction factors'!$B$7</f>
        <v>2225.94</v>
      </c>
      <c r="D65" s="13" t="n">
        <v>3.691117</v>
      </c>
      <c r="E65" s="14" t="n">
        <v>280</v>
      </c>
      <c r="F65" s="10" t="n">
        <f aca="false">E65/'Correction factors'!$B$10</f>
        <v>22.582</v>
      </c>
      <c r="G65" s="11" t="n">
        <v>370</v>
      </c>
    </row>
    <row r="66" customFormat="false" ht="15" hidden="false" customHeight="false" outlineLevel="0" collapsed="false">
      <c r="A66" s="10" t="n">
        <v>14.620808839798</v>
      </c>
      <c r="B66" s="11" t="n">
        <v>400</v>
      </c>
      <c r="C66" s="12" t="n">
        <f aca="false">B66*'Correction factors'!$B$7</f>
        <v>1935.6</v>
      </c>
      <c r="D66" s="13" t="n">
        <v>3.789333</v>
      </c>
      <c r="E66" s="14" t="n">
        <v>248</v>
      </c>
      <c r="F66" s="10" t="n">
        <f aca="false">E66/'Correction factors'!$B$10</f>
        <v>20.0012</v>
      </c>
      <c r="G66" s="11" t="n">
        <v>365</v>
      </c>
    </row>
    <row r="67" customFormat="false" ht="15" hidden="false" customHeight="false" outlineLevel="0" collapsed="false">
      <c r="A67" s="10" t="n">
        <v>15.0807175636292</v>
      </c>
      <c r="B67" s="11" t="n">
        <v>420</v>
      </c>
      <c r="C67" s="12" t="n">
        <f aca="false">B67*'Correction factors'!$B$7</f>
        <v>2032.38</v>
      </c>
      <c r="D67" s="13" t="n">
        <v>3.907192</v>
      </c>
      <c r="E67" s="14" t="n">
        <v>240</v>
      </c>
      <c r="F67" s="10" t="n">
        <f aca="false">E67/'Correction factors'!$B$10</f>
        <v>19.356</v>
      </c>
      <c r="G67" s="11" t="n">
        <v>363</v>
      </c>
    </row>
    <row r="68" customFormat="false" ht="15" hidden="false" customHeight="false" outlineLevel="0" collapsed="false">
      <c r="A68" s="10" t="n">
        <v>15.0807175636292</v>
      </c>
      <c r="B68" s="11" t="n">
        <v>380</v>
      </c>
      <c r="C68" s="12" t="n">
        <f aca="false">B68*'Correction factors'!$B$7</f>
        <v>1838.82</v>
      </c>
      <c r="D68" s="13" t="n">
        <v>4.025051</v>
      </c>
      <c r="E68" s="14" t="n">
        <v>208</v>
      </c>
      <c r="F68" s="10" t="n">
        <f aca="false">E68/'Correction factors'!$B$10</f>
        <v>16.7752</v>
      </c>
      <c r="G68" s="11" t="n">
        <v>357</v>
      </c>
    </row>
    <row r="69" customFormat="false" ht="15" hidden="false" customHeight="false" outlineLevel="0" collapsed="false">
      <c r="A69" s="10" t="n">
        <v>15.0807175636292</v>
      </c>
      <c r="B69" s="11" t="n">
        <v>360</v>
      </c>
      <c r="C69" s="12" t="n">
        <f aca="false">B69*'Correction factors'!$B$7</f>
        <v>1742.04</v>
      </c>
      <c r="D69" s="13" t="n">
        <v>4.103624</v>
      </c>
      <c r="E69" s="14" t="n">
        <v>208</v>
      </c>
      <c r="F69" s="10" t="n">
        <f aca="false">E69/'Correction factors'!$B$10</f>
        <v>16.7752</v>
      </c>
      <c r="G69" s="11" t="n">
        <v>354</v>
      </c>
    </row>
    <row r="70" customFormat="false" ht="15" hidden="false" customHeight="false" outlineLevel="0" collapsed="false">
      <c r="A70" s="10" t="n">
        <v>15.6068835258484</v>
      </c>
      <c r="B70" s="11" t="n">
        <v>320</v>
      </c>
      <c r="C70" s="12" t="n">
        <f aca="false">B70*'Correction factors'!$B$7</f>
        <v>1548.48</v>
      </c>
      <c r="D70" s="13" t="n">
        <v>4.270591</v>
      </c>
      <c r="E70" s="14" t="n">
        <v>184</v>
      </c>
      <c r="F70" s="10" t="n">
        <f aca="false">E70/'Correction factors'!$B$10</f>
        <v>14.8396</v>
      </c>
      <c r="G70" s="11" t="n">
        <v>352</v>
      </c>
    </row>
    <row r="71" customFormat="false" ht="15" hidden="false" customHeight="false" outlineLevel="0" collapsed="false">
      <c r="A71" s="10" t="n">
        <v>15.6068835258484</v>
      </c>
      <c r="B71" s="11" t="n">
        <v>300</v>
      </c>
      <c r="C71" s="12" t="n">
        <f aca="false">B71*'Correction factors'!$B$7</f>
        <v>1451.7</v>
      </c>
      <c r="D71" s="13" t="n">
        <v>4.378629</v>
      </c>
      <c r="E71" s="14" t="n">
        <v>160</v>
      </c>
      <c r="F71" s="10" t="n">
        <f aca="false">E71/'Correction factors'!$B$10</f>
        <v>12.904</v>
      </c>
      <c r="G71" s="11" t="n">
        <v>354</v>
      </c>
    </row>
    <row r="72" customFormat="false" ht="15" hidden="false" customHeight="false" outlineLevel="0" collapsed="false">
      <c r="A72" s="10" t="n">
        <v>16.1205389499664</v>
      </c>
      <c r="B72" s="11" t="n">
        <v>320</v>
      </c>
      <c r="C72" s="12" t="n">
        <f aca="false">B72*'Correction factors'!$B$7</f>
        <v>1548.48</v>
      </c>
      <c r="D72" s="13" t="n">
        <v>4.486666</v>
      </c>
      <c r="E72" s="14" t="n">
        <v>152</v>
      </c>
      <c r="F72" s="10" t="n">
        <f aca="false">E72/'Correction factors'!$B$10</f>
        <v>12.2588</v>
      </c>
      <c r="G72" s="11" t="n">
        <v>354</v>
      </c>
    </row>
    <row r="73" customFormat="false" ht="15" hidden="false" customHeight="false" outlineLevel="0" collapsed="false">
      <c r="A73" s="10" t="n">
        <v>16.1205389499664</v>
      </c>
      <c r="B73" s="11" t="n">
        <v>340</v>
      </c>
      <c r="C73" s="12" t="n">
        <f aca="false">B73*'Correction factors'!$B$7</f>
        <v>1645.26</v>
      </c>
      <c r="D73" s="13" t="n">
        <v>4.565239</v>
      </c>
      <c r="E73" s="14" t="n">
        <v>160</v>
      </c>
      <c r="F73" s="10" t="n">
        <f aca="false">E73/'Correction factors'!$B$10</f>
        <v>12.904</v>
      </c>
      <c r="G73" s="11" t="n">
        <v>350</v>
      </c>
    </row>
    <row r="74" customFormat="false" ht="15" hidden="false" customHeight="false" outlineLevel="0" collapsed="false">
      <c r="A74" s="10" t="n">
        <v>16.1205389499664</v>
      </c>
      <c r="B74" s="11" t="n">
        <v>320</v>
      </c>
      <c r="C74" s="12" t="n">
        <f aca="false">B74*'Correction factors'!$B$7</f>
        <v>1548.48</v>
      </c>
      <c r="D74" s="13" t="n">
        <v>4.653633</v>
      </c>
      <c r="E74" s="14" t="n">
        <v>160</v>
      </c>
      <c r="F74" s="10" t="n">
        <f aca="false">E74/'Correction factors'!$B$10</f>
        <v>12.904</v>
      </c>
      <c r="G74" s="11" t="n">
        <v>340</v>
      </c>
    </row>
    <row r="75" customFormat="false" ht="15" hidden="false" customHeight="false" outlineLevel="0" collapsed="false">
      <c r="A75" s="10" t="n">
        <v>16.6474509239197</v>
      </c>
      <c r="B75" s="11" t="n">
        <v>260</v>
      </c>
      <c r="C75" s="12" t="n">
        <f aca="false">B75*'Correction factors'!$B$7</f>
        <v>1258.14</v>
      </c>
      <c r="D75" s="13" t="n">
        <v>4.830422</v>
      </c>
      <c r="E75" s="14" t="n">
        <v>136</v>
      </c>
      <c r="F75" s="10" t="n">
        <f aca="false">E75/'Correction factors'!$B$10</f>
        <v>10.9684</v>
      </c>
      <c r="G75" s="11" t="n">
        <v>340</v>
      </c>
    </row>
    <row r="76" customFormat="false" ht="15" hidden="false" customHeight="false" outlineLevel="0" collapsed="false">
      <c r="A76" s="10" t="n">
        <v>16.6474509239197</v>
      </c>
      <c r="B76" s="11" t="n">
        <v>220</v>
      </c>
      <c r="C76" s="12" t="n">
        <f aca="false">B76*'Correction factors'!$B$7</f>
        <v>1064.58</v>
      </c>
      <c r="D76" s="13" t="n">
        <v>4.967924</v>
      </c>
      <c r="E76" s="14" t="n">
        <v>88</v>
      </c>
      <c r="F76" s="10" t="n">
        <f aca="false">E76/'Correction factors'!$B$10</f>
        <v>7.0972</v>
      </c>
      <c r="G76" s="11" t="n">
        <v>343</v>
      </c>
    </row>
    <row r="77" customFormat="false" ht="15" hidden="false" customHeight="false" outlineLevel="0" collapsed="false">
      <c r="A77" s="10" t="n">
        <v>17.1240322589874</v>
      </c>
      <c r="B77" s="11" t="n">
        <v>220</v>
      </c>
      <c r="C77" s="12" t="n">
        <f aca="false">B77*'Correction factors'!$B$7</f>
        <v>1064.58</v>
      </c>
      <c r="D77" s="13" t="n">
        <v>5.056319</v>
      </c>
      <c r="E77" s="14" t="n">
        <v>96</v>
      </c>
      <c r="F77" s="10" t="n">
        <f aca="false">E77/'Correction factors'!$B$10</f>
        <v>7.7424</v>
      </c>
      <c r="G77" s="11" t="n">
        <v>352</v>
      </c>
    </row>
    <row r="78" customFormat="false" ht="15" hidden="false" customHeight="false" outlineLevel="0" collapsed="false">
      <c r="A78" s="10" t="n">
        <v>17.1240322589874</v>
      </c>
      <c r="B78" s="11" t="n">
        <v>240</v>
      </c>
      <c r="C78" s="12" t="n">
        <f aca="false">B78*'Correction factors'!$B$7</f>
        <v>1161.36</v>
      </c>
      <c r="D78" s="13" t="n">
        <v>5.164356</v>
      </c>
      <c r="E78" s="14" t="n">
        <v>88</v>
      </c>
      <c r="F78" s="10" t="n">
        <f aca="false">E78/'Correction factors'!$B$10</f>
        <v>7.0972</v>
      </c>
      <c r="G78" s="11" t="n">
        <v>351</v>
      </c>
    </row>
    <row r="79" customFormat="false" ht="15" hidden="false" customHeight="false" outlineLevel="0" collapsed="false">
      <c r="A79" s="10" t="n">
        <v>17.5918412208557</v>
      </c>
      <c r="B79" s="11" t="n">
        <v>240</v>
      </c>
      <c r="C79" s="12" t="n">
        <f aca="false">B79*'Correction factors'!$B$7</f>
        <v>1161.36</v>
      </c>
      <c r="D79" s="13" t="n">
        <v>5.242929</v>
      </c>
      <c r="E79" s="14" t="n">
        <v>104</v>
      </c>
      <c r="F79" s="10" t="n">
        <f aca="false">E79/'Correction factors'!$B$10</f>
        <v>8.3876</v>
      </c>
      <c r="G79" s="11" t="n">
        <v>345</v>
      </c>
    </row>
    <row r="80" customFormat="false" ht="15" hidden="false" customHeight="false" outlineLevel="0" collapsed="false">
      <c r="A80" s="10" t="n">
        <v>17.5918412208557</v>
      </c>
      <c r="B80" s="11" t="n">
        <v>260</v>
      </c>
      <c r="C80" s="12" t="n">
        <f aca="false">B80*'Correction factors'!$B$7</f>
        <v>1258.14</v>
      </c>
      <c r="D80" s="13" t="n">
        <v>5.31168</v>
      </c>
      <c r="E80" s="14" t="n">
        <v>96</v>
      </c>
      <c r="F80" s="10" t="n">
        <f aca="false">E80/'Correction factors'!$B$10</f>
        <v>7.7424</v>
      </c>
      <c r="G80" s="11" t="n">
        <v>345</v>
      </c>
    </row>
    <row r="81" customFormat="false" ht="15" hidden="false" customHeight="false" outlineLevel="0" collapsed="false">
      <c r="A81" s="10" t="n">
        <v>17.5918412208557</v>
      </c>
      <c r="B81" s="11" t="n">
        <v>260</v>
      </c>
      <c r="C81" s="12" t="n">
        <f aca="false">B81*'Correction factors'!$B$7</f>
        <v>1258.14</v>
      </c>
      <c r="D81" s="13" t="n">
        <v>5.380431</v>
      </c>
      <c r="E81" s="14" t="n">
        <v>104</v>
      </c>
      <c r="F81" s="10" t="n">
        <f aca="false">E81/'Correction factors'!$B$10</f>
        <v>8.3876</v>
      </c>
      <c r="G81" s="11" t="n">
        <v>342</v>
      </c>
    </row>
    <row r="82" customFormat="false" ht="15" hidden="false" customHeight="false" outlineLevel="0" collapsed="false">
      <c r="A82" s="10" t="n">
        <v>18.1173317432404</v>
      </c>
      <c r="B82" s="11" t="n">
        <v>280</v>
      </c>
      <c r="C82" s="12" t="n">
        <f aca="false">B82*'Correction factors'!$B$7</f>
        <v>1354.92</v>
      </c>
      <c r="D82" s="13" t="n">
        <v>5.429539</v>
      </c>
      <c r="E82" s="14" t="n">
        <v>104</v>
      </c>
      <c r="F82" s="10" t="n">
        <f aca="false">E82/'Correction factors'!$B$10</f>
        <v>8.3876</v>
      </c>
      <c r="G82" s="11" t="n">
        <v>339</v>
      </c>
    </row>
    <row r="83" customFormat="false" ht="15" hidden="false" customHeight="false" outlineLevel="0" collapsed="false">
      <c r="A83" s="10" t="n">
        <v>18.1173317432404</v>
      </c>
      <c r="B83" s="11" t="n">
        <v>260</v>
      </c>
      <c r="C83" s="12" t="n">
        <f aca="false">B83*'Correction factors'!$B$7</f>
        <v>1258.14</v>
      </c>
      <c r="D83" s="13" t="n">
        <v>5.488469</v>
      </c>
      <c r="E83" s="14" t="n">
        <v>96</v>
      </c>
      <c r="F83" s="10" t="n">
        <f aca="false">E83/'Correction factors'!$B$10</f>
        <v>7.7424</v>
      </c>
      <c r="G83" s="11" t="n">
        <v>337</v>
      </c>
    </row>
    <row r="84" customFormat="false" ht="15" hidden="false" customHeight="false" outlineLevel="0" collapsed="false">
      <c r="A84" s="10" t="n">
        <v>18.5854682922363</v>
      </c>
      <c r="B84" s="11" t="n">
        <v>260</v>
      </c>
      <c r="C84" s="12" t="n">
        <f aca="false">B84*'Correction factors'!$B$7</f>
        <v>1258.14</v>
      </c>
      <c r="D84" s="13" t="n">
        <v>5.537577</v>
      </c>
      <c r="E84" s="14" t="n">
        <v>96</v>
      </c>
      <c r="F84" s="10" t="n">
        <f aca="false">E84/'Correction factors'!$B$10</f>
        <v>7.7424</v>
      </c>
      <c r="G84" s="11" t="n">
        <v>335</v>
      </c>
    </row>
    <row r="85" customFormat="false" ht="15" hidden="false" customHeight="false" outlineLevel="0" collapsed="false">
      <c r="A85" s="10" t="n">
        <v>18.5854682922363</v>
      </c>
      <c r="B85" s="11" t="n">
        <v>260</v>
      </c>
      <c r="C85" s="12" t="n">
        <f aca="false">B85*'Correction factors'!$B$7</f>
        <v>1258.14</v>
      </c>
      <c r="D85" s="13" t="n">
        <v>5.586685</v>
      </c>
      <c r="E85" s="14" t="n">
        <v>96</v>
      </c>
      <c r="F85" s="10" t="n">
        <f aca="false">E85/'Correction factors'!$B$10</f>
        <v>7.7424</v>
      </c>
      <c r="G85" s="11" t="n">
        <v>335</v>
      </c>
    </row>
    <row r="86" customFormat="false" ht="15" hidden="false" customHeight="false" outlineLevel="0" collapsed="false">
      <c r="A86" s="10" t="n">
        <v>19.060693025589</v>
      </c>
      <c r="B86" s="11" t="n">
        <v>240</v>
      </c>
      <c r="C86" s="12" t="n">
        <f aca="false">B86*'Correction factors'!$B$7</f>
        <v>1161.36</v>
      </c>
      <c r="D86" s="13" t="n">
        <v>5.625971</v>
      </c>
      <c r="E86" s="14" t="n">
        <v>96</v>
      </c>
      <c r="F86" s="10" t="n">
        <f aca="false">E86/'Correction factors'!$B$10</f>
        <v>7.7424</v>
      </c>
      <c r="G86" s="11" t="n">
        <v>334</v>
      </c>
    </row>
    <row r="87" customFormat="false" ht="15" hidden="false" customHeight="false" outlineLevel="0" collapsed="false">
      <c r="A87" s="10" t="n">
        <v>19.060693025589</v>
      </c>
      <c r="B87" s="11" t="n">
        <v>240</v>
      </c>
      <c r="C87" s="12" t="n">
        <f aca="false">B87*'Correction factors'!$B$7</f>
        <v>1161.36</v>
      </c>
      <c r="D87" s="13" t="n">
        <v>5.665258</v>
      </c>
      <c r="E87" s="14" t="n">
        <v>88</v>
      </c>
      <c r="F87" s="10" t="n">
        <f aca="false">E87/'Correction factors'!$B$10</f>
        <v>7.0972</v>
      </c>
      <c r="G87" s="11" t="n">
        <v>334</v>
      </c>
    </row>
    <row r="88" customFormat="false" ht="15" hidden="false" customHeight="false" outlineLevel="0" collapsed="false">
      <c r="A88" s="10" t="n">
        <v>19.060693025589</v>
      </c>
      <c r="B88" s="11" t="n">
        <v>240</v>
      </c>
      <c r="C88" s="12" t="n">
        <f aca="false">B88*'Correction factors'!$B$7</f>
        <v>1161.36</v>
      </c>
      <c r="D88" s="13" t="n">
        <v>5.694722</v>
      </c>
      <c r="E88" s="14" t="n">
        <v>96</v>
      </c>
      <c r="F88" s="10" t="n">
        <f aca="false">E88/'Correction factors'!$B$10</f>
        <v>7.7424</v>
      </c>
      <c r="G88" s="11" t="n">
        <v>335</v>
      </c>
    </row>
    <row r="89" customFormat="false" ht="15" hidden="false" customHeight="false" outlineLevel="0" collapsed="false">
      <c r="A89" s="10" t="n">
        <v>19.5659530162811</v>
      </c>
      <c r="B89" s="11" t="n">
        <v>240</v>
      </c>
      <c r="C89" s="12" t="n">
        <f aca="false">B89*'Correction factors'!$B$7</f>
        <v>1161.36</v>
      </c>
      <c r="D89" s="13" t="n">
        <v>5.734009</v>
      </c>
      <c r="E89" s="14" t="n">
        <v>88</v>
      </c>
      <c r="F89" s="10" t="n">
        <f aca="false">E89/'Correction factors'!$B$10</f>
        <v>7.0972</v>
      </c>
      <c r="G89" s="11" t="n">
        <v>334</v>
      </c>
    </row>
    <row r="90" customFormat="false" ht="15" hidden="false" customHeight="false" outlineLevel="0" collapsed="false">
      <c r="A90" s="10" t="n">
        <v>19.5659530162811</v>
      </c>
      <c r="B90" s="11" t="n">
        <v>260</v>
      </c>
      <c r="C90" s="12" t="n">
        <f aca="false">B90*'Correction factors'!$B$7</f>
        <v>1258.14</v>
      </c>
      <c r="D90" s="13" t="n">
        <v>5.763474</v>
      </c>
      <c r="E90" s="14" t="n">
        <v>88</v>
      </c>
      <c r="F90" s="10" t="n">
        <f aca="false">E90/'Correction factors'!$B$10</f>
        <v>7.0972</v>
      </c>
      <c r="G90" s="11" t="n">
        <v>333</v>
      </c>
    </row>
    <row r="91" customFormat="false" ht="15" hidden="false" customHeight="false" outlineLevel="0" collapsed="false">
      <c r="A91" s="10" t="n">
        <v>20.039835691452</v>
      </c>
      <c r="B91" s="11" t="n">
        <v>260</v>
      </c>
      <c r="C91" s="12" t="n">
        <f aca="false">B91*'Correction factors'!$B$7</f>
        <v>1258.14</v>
      </c>
      <c r="D91" s="13" t="n">
        <v>5.80276</v>
      </c>
      <c r="E91" s="14" t="n">
        <v>80</v>
      </c>
      <c r="F91" s="10" t="n">
        <f aca="false">E91/'Correction factors'!$B$10</f>
        <v>6.452</v>
      </c>
      <c r="G91" s="11" t="n">
        <v>325</v>
      </c>
    </row>
    <row r="92" customFormat="false" ht="15" hidden="false" customHeight="false" outlineLevel="0" collapsed="false">
      <c r="A92" s="10" t="n">
        <v>20.039835691452</v>
      </c>
      <c r="B92" s="11" t="n">
        <v>160</v>
      </c>
      <c r="C92" s="12" t="n">
        <f aca="false">B92*'Correction factors'!$B$7</f>
        <v>774.24</v>
      </c>
      <c r="D92" s="13" t="n">
        <v>5.881333</v>
      </c>
      <c r="E92" s="14" t="n">
        <v>64</v>
      </c>
      <c r="F92" s="10" t="n">
        <f aca="false">E92/'Correction factors'!$B$10</f>
        <v>5.1616</v>
      </c>
      <c r="G92" s="11" t="n">
        <v>326</v>
      </c>
    </row>
    <row r="93" customFormat="false" ht="15" hidden="false" customHeight="false" outlineLevel="0" collapsed="false">
      <c r="A93" s="10" t="n">
        <v>20.537353515625</v>
      </c>
      <c r="B93" s="11" t="n">
        <v>140</v>
      </c>
      <c r="C93" s="12" t="n">
        <f aca="false">B93*'Correction factors'!$B$7</f>
        <v>677.46</v>
      </c>
      <c r="D93" s="13" t="n">
        <v>5.940262</v>
      </c>
      <c r="E93" s="14" t="n">
        <v>48</v>
      </c>
      <c r="F93" s="10" t="n">
        <f aca="false">E93/'Correction factors'!$B$10</f>
        <v>3.8712</v>
      </c>
      <c r="G93" s="11" t="n">
        <v>337</v>
      </c>
    </row>
    <row r="94" customFormat="false" ht="15" hidden="false" customHeight="false" outlineLevel="0" collapsed="false">
      <c r="A94" s="10" t="n">
        <v>20.537353515625</v>
      </c>
      <c r="B94" s="11" t="n">
        <v>160</v>
      </c>
      <c r="C94" s="12" t="n">
        <f aca="false">B94*'Correction factors'!$B$7</f>
        <v>774.24</v>
      </c>
      <c r="D94" s="13" t="n">
        <v>5.98937</v>
      </c>
      <c r="E94" s="14" t="n">
        <v>48</v>
      </c>
      <c r="F94" s="10" t="n">
        <f aca="false">E94/'Correction factors'!$B$10</f>
        <v>3.8712</v>
      </c>
      <c r="G94" s="11" t="n">
        <v>340</v>
      </c>
    </row>
    <row r="95" customFormat="false" ht="15" hidden="false" customHeight="false" outlineLevel="0" collapsed="false">
      <c r="A95" s="10" t="n">
        <v>20.537353515625</v>
      </c>
      <c r="B95" s="11" t="n">
        <v>160</v>
      </c>
      <c r="C95" s="12" t="n">
        <f aca="false">B95*'Correction factors'!$B$7</f>
        <v>774.24</v>
      </c>
      <c r="D95" s="13" t="n">
        <v>6.028656</v>
      </c>
      <c r="E95" s="14" t="n">
        <v>48</v>
      </c>
      <c r="F95" s="10" t="n">
        <f aca="false">E95/'Correction factors'!$B$10</f>
        <v>3.8712</v>
      </c>
      <c r="G95" s="11" t="n">
        <v>341</v>
      </c>
    </row>
    <row r="96" customFormat="false" ht="15" hidden="false" customHeight="false" outlineLevel="0" collapsed="false">
      <c r="A96" s="10" t="n">
        <v>21.0201978683472</v>
      </c>
      <c r="B96" s="11" t="n">
        <v>160</v>
      </c>
      <c r="C96" s="12" t="n">
        <f aca="false">B96*'Correction factors'!$B$7</f>
        <v>774.24</v>
      </c>
      <c r="D96" s="13" t="n">
        <v>6.058122</v>
      </c>
      <c r="E96" s="14" t="n">
        <v>48</v>
      </c>
      <c r="F96" s="10" t="n">
        <f aca="false">E96/'Correction factors'!$B$10</f>
        <v>3.8712</v>
      </c>
      <c r="G96" s="11" t="n">
        <v>341</v>
      </c>
    </row>
    <row r="97" customFormat="false" ht="15" hidden="false" customHeight="false" outlineLevel="0" collapsed="false">
      <c r="A97" s="10" t="n">
        <v>21.0201978683472</v>
      </c>
      <c r="B97" s="11" t="n">
        <v>160</v>
      </c>
      <c r="C97" s="12" t="n">
        <f aca="false">B97*'Correction factors'!$B$7</f>
        <v>774.24</v>
      </c>
      <c r="D97" s="13" t="n">
        <v>6.067943</v>
      </c>
      <c r="E97" s="14" t="n">
        <v>56</v>
      </c>
      <c r="F97" s="10" t="n">
        <f aca="false">E97/'Correction factors'!$B$10</f>
        <v>4.5164</v>
      </c>
      <c r="G97" s="11" t="n">
        <v>342</v>
      </c>
    </row>
    <row r="98" customFormat="false" ht="15" hidden="false" customHeight="false" outlineLevel="0" collapsed="false">
      <c r="A98" s="10" t="n">
        <v>21.4687452316284</v>
      </c>
      <c r="B98" s="11" t="n">
        <v>180</v>
      </c>
      <c r="C98" s="12" t="n">
        <f aca="false">B98*'Correction factors'!$B$7</f>
        <v>871.02</v>
      </c>
      <c r="D98" s="13" t="n">
        <v>6.097408</v>
      </c>
      <c r="E98" s="14" t="n">
        <v>48</v>
      </c>
      <c r="F98" s="10" t="n">
        <f aca="false">E98/'Correction factors'!$B$10</f>
        <v>3.8712</v>
      </c>
      <c r="G98" s="11" t="n">
        <v>345</v>
      </c>
    </row>
    <row r="99" customFormat="false" ht="15" hidden="false" customHeight="false" outlineLevel="0" collapsed="false">
      <c r="A99" s="10" t="n">
        <v>21.4687452316284</v>
      </c>
      <c r="B99" s="11" t="n">
        <v>180</v>
      </c>
      <c r="C99" s="12" t="n">
        <f aca="false">B99*'Correction factors'!$B$7</f>
        <v>871.02</v>
      </c>
      <c r="D99" s="13" t="n">
        <v>6.10723</v>
      </c>
      <c r="E99" s="14" t="n">
        <v>56</v>
      </c>
      <c r="F99" s="10" t="n">
        <f aca="false">E99/'Correction factors'!$B$10</f>
        <v>4.5164</v>
      </c>
      <c r="G99" s="11" t="n">
        <v>344</v>
      </c>
    </row>
    <row r="100" customFormat="false" ht="15" hidden="false" customHeight="false" outlineLevel="0" collapsed="false">
      <c r="A100" s="10" t="n">
        <v>21.9104783535004</v>
      </c>
      <c r="B100" s="11" t="n">
        <v>180</v>
      </c>
      <c r="C100" s="12" t="n">
        <f aca="false">B100*'Correction factors'!$B$7</f>
        <v>871.02</v>
      </c>
      <c r="D100" s="13" t="n">
        <v>6.126873</v>
      </c>
      <c r="E100" s="14" t="n">
        <v>48</v>
      </c>
      <c r="F100" s="10" t="n">
        <f aca="false">E100/'Correction factors'!$B$10</f>
        <v>3.8712</v>
      </c>
      <c r="G100" s="11" t="n">
        <v>344</v>
      </c>
    </row>
    <row r="101" customFormat="false" ht="15" hidden="false" customHeight="false" outlineLevel="0" collapsed="false">
      <c r="A101" s="10" t="n">
        <v>21.9104783535004</v>
      </c>
      <c r="B101" s="11" t="n">
        <v>160</v>
      </c>
      <c r="C101" s="12" t="n">
        <f aca="false">B101*'Correction factors'!$B$7</f>
        <v>774.24</v>
      </c>
      <c r="D101" s="13" t="n">
        <v>6.126873</v>
      </c>
      <c r="E101" s="14" t="n">
        <v>56</v>
      </c>
      <c r="F101" s="10" t="n">
        <f aca="false">E101/'Correction factors'!$B$10</f>
        <v>4.5164</v>
      </c>
      <c r="G101" s="11" t="n">
        <v>343</v>
      </c>
    </row>
    <row r="102" customFormat="false" ht="15" hidden="false" customHeight="false" outlineLevel="0" collapsed="false">
      <c r="A102" s="10" t="n">
        <v>21.9104783535004</v>
      </c>
      <c r="B102" s="11" t="n">
        <v>160</v>
      </c>
      <c r="C102" s="12" t="n">
        <f aca="false">B102*'Correction factors'!$B$7</f>
        <v>774.24</v>
      </c>
      <c r="D102" s="13" t="n">
        <v>6.126873</v>
      </c>
      <c r="E102" s="14" t="n">
        <v>56</v>
      </c>
      <c r="F102" s="10" t="n">
        <f aca="false">E102/'Correction factors'!$B$10</f>
        <v>4.5164</v>
      </c>
      <c r="G102" s="11" t="n">
        <v>347</v>
      </c>
    </row>
    <row r="103" customFormat="false" ht="15" hidden="false" customHeight="false" outlineLevel="0" collapsed="false">
      <c r="A103" s="10" t="n">
        <v>22.4144966602325</v>
      </c>
      <c r="B103" s="11" t="n">
        <v>160</v>
      </c>
      <c r="C103" s="12" t="n">
        <f aca="false">B103*'Correction factors'!$B$7</f>
        <v>774.24</v>
      </c>
      <c r="D103" s="13" t="n">
        <v>6.136694</v>
      </c>
      <c r="E103" s="14" t="n">
        <v>48</v>
      </c>
      <c r="F103" s="10" t="n">
        <f aca="false">E103/'Correction factors'!$B$10</f>
        <v>3.8712</v>
      </c>
      <c r="G103" s="11" t="n">
        <v>348</v>
      </c>
    </row>
    <row r="104" customFormat="false" ht="15" hidden="false" customHeight="false" outlineLevel="0" collapsed="false">
      <c r="A104" s="10" t="n">
        <v>22.4144966602325</v>
      </c>
      <c r="B104" s="11" t="n">
        <v>180</v>
      </c>
      <c r="C104" s="12" t="n">
        <f aca="false">B104*'Correction factors'!$B$7</f>
        <v>871.02</v>
      </c>
      <c r="D104" s="13" t="n">
        <v>6.126873</v>
      </c>
      <c r="E104" s="14" t="n">
        <v>56</v>
      </c>
      <c r="F104" s="10" t="n">
        <f aca="false">E104/'Correction factors'!$B$10</f>
        <v>4.5164</v>
      </c>
      <c r="G104" s="11" t="n">
        <v>349</v>
      </c>
    </row>
    <row r="105" customFormat="false" ht="15" hidden="false" customHeight="false" outlineLevel="0" collapsed="false">
      <c r="A105" s="10" t="n">
        <v>22.8586127758026</v>
      </c>
      <c r="B105" s="11" t="n">
        <v>180</v>
      </c>
      <c r="C105" s="12" t="n">
        <f aca="false">B105*'Correction factors'!$B$7</f>
        <v>871.02</v>
      </c>
      <c r="D105" s="13" t="n">
        <v>6.117051</v>
      </c>
      <c r="E105" s="14" t="n">
        <v>56</v>
      </c>
      <c r="F105" s="10" t="n">
        <f aca="false">E105/'Correction factors'!$B$10</f>
        <v>4.5164</v>
      </c>
      <c r="G105" s="11" t="n">
        <v>349</v>
      </c>
    </row>
    <row r="106" customFormat="false" ht="15" hidden="false" customHeight="false" outlineLevel="0" collapsed="false">
      <c r="A106" s="10" t="n">
        <v>22.8586127758026</v>
      </c>
      <c r="B106" s="11" t="n">
        <v>180</v>
      </c>
      <c r="C106" s="12" t="n">
        <f aca="false">B106*'Correction factors'!$B$7</f>
        <v>871.02</v>
      </c>
      <c r="D106" s="13" t="n">
        <v>6.10723</v>
      </c>
      <c r="E106" s="14" t="n">
        <v>56</v>
      </c>
      <c r="F106" s="10" t="n">
        <f aca="false">E106/'Correction factors'!$B$10</f>
        <v>4.5164</v>
      </c>
      <c r="G106" s="11" t="n">
        <v>349</v>
      </c>
    </row>
    <row r="107" customFormat="false" ht="15" hidden="false" customHeight="false" outlineLevel="0" collapsed="false">
      <c r="A107" s="10" t="n">
        <v>23.2821216583252</v>
      </c>
      <c r="B107" s="11" t="n">
        <v>180</v>
      </c>
      <c r="C107" s="12" t="n">
        <f aca="false">B107*'Correction factors'!$B$7</f>
        <v>871.02</v>
      </c>
      <c r="D107" s="13" t="n">
        <v>6.097408</v>
      </c>
      <c r="E107" s="14" t="n">
        <v>48</v>
      </c>
      <c r="F107" s="10" t="n">
        <f aca="false">E107/'Correction factors'!$B$10</f>
        <v>3.8712</v>
      </c>
      <c r="G107" s="11" t="n">
        <v>349</v>
      </c>
    </row>
    <row r="108" customFormat="false" ht="15" hidden="false" customHeight="false" outlineLevel="0" collapsed="false">
      <c r="A108" s="10" t="n">
        <v>23.2821216583252</v>
      </c>
      <c r="B108" s="11" t="n">
        <v>180</v>
      </c>
      <c r="C108" s="12" t="n">
        <f aca="false">B108*'Correction factors'!$B$7</f>
        <v>871.02</v>
      </c>
      <c r="D108" s="13" t="n">
        <v>6.087586</v>
      </c>
      <c r="E108" s="14" t="n">
        <v>56</v>
      </c>
      <c r="F108" s="10" t="n">
        <f aca="false">E108/'Correction factors'!$B$10</f>
        <v>4.5164</v>
      </c>
      <c r="G108" s="11" t="n">
        <v>349</v>
      </c>
    </row>
    <row r="109" customFormat="false" ht="15" hidden="false" customHeight="false" outlineLevel="0" collapsed="false">
      <c r="A109" s="10" t="n">
        <v>23.6969769001007</v>
      </c>
      <c r="B109" s="11" t="n">
        <v>200</v>
      </c>
      <c r="C109" s="12" t="n">
        <f aca="false">B109*'Correction factors'!$B$7</f>
        <v>967.8</v>
      </c>
      <c r="D109" s="13" t="n">
        <v>6.077765</v>
      </c>
      <c r="E109" s="14" t="n">
        <v>56</v>
      </c>
      <c r="F109" s="10" t="n">
        <f aca="false">E109/'Correction factors'!$B$10</f>
        <v>4.5164</v>
      </c>
      <c r="G109" s="11" t="n">
        <v>349</v>
      </c>
    </row>
    <row r="110" customFormat="false" ht="15" hidden="false" customHeight="false" outlineLevel="0" collapsed="false">
      <c r="A110" s="10" t="n">
        <v>23.6969769001007</v>
      </c>
      <c r="B110" s="11" t="n">
        <v>180</v>
      </c>
      <c r="C110" s="12" t="n">
        <f aca="false">B110*'Correction factors'!$B$7</f>
        <v>871.02</v>
      </c>
      <c r="D110" s="13" t="n">
        <v>6.067943</v>
      </c>
      <c r="E110" s="14" t="n">
        <v>56</v>
      </c>
      <c r="F110" s="10" t="n">
        <f aca="false">E110/'Correction factors'!$B$10</f>
        <v>4.5164</v>
      </c>
      <c r="G110" s="11" t="n">
        <v>348</v>
      </c>
    </row>
    <row r="111" customFormat="false" ht="15" hidden="false" customHeight="false" outlineLevel="0" collapsed="false">
      <c r="A111" s="10" t="n">
        <v>24.1201207637787</v>
      </c>
      <c r="B111" s="11" t="n">
        <v>180</v>
      </c>
      <c r="C111" s="12" t="n">
        <f aca="false">B111*'Correction factors'!$B$7</f>
        <v>871.02</v>
      </c>
      <c r="D111" s="13" t="n">
        <v>6.058122</v>
      </c>
      <c r="E111" s="14" t="n">
        <v>56</v>
      </c>
      <c r="F111" s="10" t="n">
        <f aca="false">E111/'Correction factors'!$B$10</f>
        <v>4.5164</v>
      </c>
      <c r="G111" s="11" t="n">
        <v>350</v>
      </c>
    </row>
    <row r="112" customFormat="false" ht="15" hidden="false" customHeight="false" outlineLevel="0" collapsed="false">
      <c r="A112" s="10" t="n">
        <v>24.1201207637787</v>
      </c>
      <c r="B112" s="11" t="n">
        <v>180</v>
      </c>
      <c r="C112" s="12" t="n">
        <f aca="false">B112*'Correction factors'!$B$7</f>
        <v>871.02</v>
      </c>
      <c r="D112" s="13" t="n">
        <v>6.0483</v>
      </c>
      <c r="E112" s="14" t="n">
        <v>56</v>
      </c>
      <c r="F112" s="10" t="n">
        <f aca="false">E112/'Correction factors'!$B$10</f>
        <v>4.5164</v>
      </c>
      <c r="G112" s="11" t="n">
        <v>350</v>
      </c>
    </row>
    <row r="113" customFormat="false" ht="15" hidden="false" customHeight="false" outlineLevel="0" collapsed="false">
      <c r="A113" s="10" t="n">
        <v>24.5450377464294</v>
      </c>
      <c r="B113" s="11" t="n">
        <v>180</v>
      </c>
      <c r="C113" s="12" t="n">
        <f aca="false">B113*'Correction factors'!$B$7</f>
        <v>871.02</v>
      </c>
      <c r="D113" s="13" t="n">
        <v>6.038478</v>
      </c>
      <c r="E113" s="14" t="n">
        <v>56</v>
      </c>
      <c r="F113" s="10" t="n">
        <f aca="false">E113/'Correction factors'!$B$10</f>
        <v>4.5164</v>
      </c>
      <c r="G113" s="11" t="n">
        <v>350</v>
      </c>
    </row>
    <row r="114" customFormat="false" ht="15" hidden="false" customHeight="false" outlineLevel="0" collapsed="false">
      <c r="A114" s="10" t="n">
        <v>24.5450377464294</v>
      </c>
      <c r="B114" s="11" t="n">
        <v>180</v>
      </c>
      <c r="C114" s="12" t="n">
        <f aca="false">B114*'Correction factors'!$B$7</f>
        <v>871.02</v>
      </c>
      <c r="D114" s="13" t="n">
        <v>6.018835</v>
      </c>
      <c r="E114" s="14" t="n">
        <v>56</v>
      </c>
      <c r="F114" s="10" t="n">
        <f aca="false">E114/'Correction factors'!$B$10</f>
        <v>4.5164</v>
      </c>
      <c r="G114" s="11" t="n">
        <v>350</v>
      </c>
    </row>
    <row r="115" customFormat="false" ht="15" hidden="false" customHeight="false" outlineLevel="0" collapsed="false">
      <c r="A115" s="10" t="n">
        <v>24.9919545650482</v>
      </c>
      <c r="B115" s="11" t="n">
        <v>180</v>
      </c>
      <c r="C115" s="12" t="n">
        <f aca="false">B115*'Correction factors'!$B$7</f>
        <v>871.02</v>
      </c>
      <c r="D115" s="13" t="n">
        <v>6.009014</v>
      </c>
      <c r="E115" s="14" t="n">
        <v>56</v>
      </c>
      <c r="F115" s="10" t="n">
        <f aca="false">E115/'Correction factors'!$B$10</f>
        <v>4.5164</v>
      </c>
      <c r="G115" s="11" t="n">
        <v>351</v>
      </c>
    </row>
    <row r="116" customFormat="false" ht="15" hidden="false" customHeight="false" outlineLevel="0" collapsed="false">
      <c r="A116" s="10" t="n">
        <v>24.9919545650482</v>
      </c>
      <c r="B116" s="11" t="n">
        <v>180</v>
      </c>
      <c r="C116" s="12" t="n">
        <f aca="false">B116*'Correction factors'!$B$7</f>
        <v>871.02</v>
      </c>
      <c r="D116" s="13" t="n">
        <v>5.979549</v>
      </c>
      <c r="E116" s="14" t="n">
        <v>56</v>
      </c>
      <c r="F116" s="10" t="n">
        <f aca="false">E116/'Correction factors'!$B$10</f>
        <v>4.5164</v>
      </c>
      <c r="G116" s="11" t="n">
        <v>352</v>
      </c>
    </row>
    <row r="117" customFormat="false" ht="15" hidden="false" customHeight="false" outlineLevel="0" collapsed="false">
      <c r="A117" s="10" t="n">
        <v>25.4068865776062</v>
      </c>
      <c r="B117" s="11" t="n">
        <v>180</v>
      </c>
      <c r="C117" s="12" t="n">
        <f aca="false">B117*'Correction factors'!$B$7</f>
        <v>871.02</v>
      </c>
      <c r="D117" s="13" t="n">
        <v>5.969727</v>
      </c>
      <c r="E117" s="14" t="n">
        <v>56</v>
      </c>
      <c r="F117" s="10" t="n">
        <f aca="false">E117/'Correction factors'!$B$10</f>
        <v>4.5164</v>
      </c>
      <c r="G117" s="11" t="n">
        <v>352</v>
      </c>
    </row>
    <row r="118" customFormat="false" ht="15" hidden="false" customHeight="false" outlineLevel="0" collapsed="false">
      <c r="A118" s="10" t="n">
        <v>25.4068865776062</v>
      </c>
      <c r="B118" s="11" t="n">
        <v>200</v>
      </c>
      <c r="C118" s="12" t="n">
        <f aca="false">B118*'Correction factors'!$B$7</f>
        <v>967.8</v>
      </c>
      <c r="D118" s="13" t="n">
        <v>5.950084</v>
      </c>
      <c r="E118" s="14" t="n">
        <v>56</v>
      </c>
      <c r="F118" s="10" t="n">
        <f aca="false">E118/'Correction factors'!$B$10</f>
        <v>4.5164</v>
      </c>
      <c r="G118" s="11" t="n">
        <v>352</v>
      </c>
    </row>
    <row r="119" customFormat="false" ht="15" hidden="false" customHeight="false" outlineLevel="0" collapsed="false">
      <c r="A119" s="10" t="n">
        <v>25.8412711620331</v>
      </c>
      <c r="B119" s="11" t="n">
        <v>200</v>
      </c>
      <c r="C119" s="12" t="n">
        <f aca="false">B119*'Correction factors'!$B$7</f>
        <v>967.8</v>
      </c>
      <c r="D119" s="13" t="n">
        <v>5.930441</v>
      </c>
      <c r="E119" s="14" t="n">
        <v>64</v>
      </c>
      <c r="F119" s="10" t="n">
        <f aca="false">E119/'Correction factors'!$B$10</f>
        <v>5.1616</v>
      </c>
      <c r="G119" s="11" t="n">
        <v>352</v>
      </c>
    </row>
    <row r="120" customFormat="false" ht="15" hidden="false" customHeight="false" outlineLevel="0" collapsed="false">
      <c r="A120" s="10" t="n">
        <v>25.8412711620331</v>
      </c>
      <c r="B120" s="11" t="n">
        <v>200</v>
      </c>
      <c r="C120" s="12" t="n">
        <f aca="false">B120*'Correction factors'!$B$7</f>
        <v>967.8</v>
      </c>
      <c r="D120" s="13" t="n">
        <v>5.910797</v>
      </c>
      <c r="E120" s="14" t="n">
        <v>56</v>
      </c>
      <c r="F120" s="10" t="n">
        <f aca="false">E120/'Correction factors'!$B$10</f>
        <v>4.5164</v>
      </c>
      <c r="G120" s="11" t="n">
        <v>352</v>
      </c>
    </row>
    <row r="121" customFormat="false" ht="15" hidden="false" customHeight="false" outlineLevel="0" collapsed="false">
      <c r="A121" s="10" t="n">
        <v>25.8412711620331</v>
      </c>
      <c r="B121" s="11" t="n">
        <v>180</v>
      </c>
      <c r="C121" s="12" t="n">
        <f aca="false">B121*'Correction factors'!$B$7</f>
        <v>871.02</v>
      </c>
      <c r="D121" s="13" t="n">
        <v>5.891154</v>
      </c>
      <c r="E121" s="14" t="n">
        <v>64</v>
      </c>
      <c r="F121" s="10" t="n">
        <f aca="false">E121/'Correction factors'!$B$10</f>
        <v>5.1616</v>
      </c>
      <c r="G121" s="11" t="n">
        <v>352</v>
      </c>
    </row>
    <row r="122" customFormat="false" ht="15" hidden="false" customHeight="false" outlineLevel="0" collapsed="false">
      <c r="A122" s="10" t="n">
        <v>26.3313870429993</v>
      </c>
      <c r="B122" s="11" t="n">
        <v>180</v>
      </c>
      <c r="C122" s="12" t="n">
        <f aca="false">B122*'Correction factors'!$B$7</f>
        <v>871.02</v>
      </c>
      <c r="D122" s="13" t="n">
        <v>5.871511</v>
      </c>
      <c r="E122" s="14" t="n">
        <v>56</v>
      </c>
      <c r="F122" s="10" t="n">
        <f aca="false">E122/'Correction factors'!$B$10</f>
        <v>4.5164</v>
      </c>
      <c r="G122" s="11" t="n">
        <v>354</v>
      </c>
    </row>
    <row r="123" customFormat="false" ht="15" hidden="false" customHeight="false" outlineLevel="0" collapsed="false">
      <c r="A123" s="10" t="n">
        <v>26.3313870429993</v>
      </c>
      <c r="B123" s="11" t="n">
        <v>200</v>
      </c>
      <c r="C123" s="12" t="n">
        <f aca="false">B123*'Correction factors'!$B$7</f>
        <v>967.8</v>
      </c>
      <c r="D123" s="13" t="n">
        <v>5.851868</v>
      </c>
      <c r="E123" s="14" t="n">
        <v>56</v>
      </c>
      <c r="F123" s="10" t="n">
        <f aca="false">E123/'Correction factors'!$B$10</f>
        <v>4.5164</v>
      </c>
      <c r="G123" s="11" t="n">
        <v>354</v>
      </c>
    </row>
    <row r="124" customFormat="false" ht="15" hidden="false" customHeight="false" outlineLevel="0" collapsed="false">
      <c r="A124" s="10" t="n">
        <v>26.7677471637726</v>
      </c>
      <c r="B124" s="11" t="n">
        <v>180</v>
      </c>
      <c r="C124" s="12" t="n">
        <f aca="false">B124*'Correction factors'!$B$7</f>
        <v>871.02</v>
      </c>
      <c r="D124" s="13" t="n">
        <v>5.842046</v>
      </c>
      <c r="E124" s="14" t="n">
        <v>64</v>
      </c>
      <c r="F124" s="10" t="n">
        <f aca="false">E124/'Correction factors'!$B$10</f>
        <v>5.1616</v>
      </c>
      <c r="G124" s="11" t="n">
        <v>354</v>
      </c>
    </row>
    <row r="125" customFormat="false" ht="15" hidden="false" customHeight="false" outlineLevel="0" collapsed="false">
      <c r="A125" s="10" t="n">
        <v>26.7677471637726</v>
      </c>
      <c r="B125" s="11" t="n">
        <v>180</v>
      </c>
      <c r="C125" s="12" t="n">
        <f aca="false">B125*'Correction factors'!$B$7</f>
        <v>871.02</v>
      </c>
      <c r="D125" s="13" t="n">
        <v>5.822403</v>
      </c>
      <c r="E125" s="14" t="n">
        <v>64</v>
      </c>
      <c r="F125" s="10" t="n">
        <f aca="false">E125/'Correction factors'!$B$10</f>
        <v>5.1616</v>
      </c>
      <c r="G125" s="11" t="n">
        <v>354</v>
      </c>
    </row>
    <row r="126" customFormat="false" ht="15" hidden="false" customHeight="false" outlineLevel="0" collapsed="false">
      <c r="A126" s="10" t="n">
        <v>27.1999094486237</v>
      </c>
      <c r="B126" s="11" t="n">
        <v>180</v>
      </c>
      <c r="C126" s="12" t="n">
        <f aca="false">B126*'Correction factors'!$B$7</f>
        <v>871.02</v>
      </c>
      <c r="D126" s="13" t="n">
        <v>5.792939</v>
      </c>
      <c r="E126" s="14" t="n">
        <v>56</v>
      </c>
      <c r="F126" s="10" t="n">
        <f aca="false">E126/'Correction factors'!$B$10</f>
        <v>4.5164</v>
      </c>
      <c r="G126" s="11" t="n">
        <v>356</v>
      </c>
    </row>
    <row r="127" customFormat="false" ht="15" hidden="false" customHeight="false" outlineLevel="0" collapsed="false">
      <c r="A127" s="10" t="n">
        <v>27.1999094486237</v>
      </c>
      <c r="B127" s="11" t="n">
        <v>200</v>
      </c>
      <c r="C127" s="12" t="n">
        <f aca="false">B127*'Correction factors'!$B$7</f>
        <v>967.8</v>
      </c>
      <c r="D127" s="13" t="n">
        <v>5.773295</v>
      </c>
      <c r="E127" s="14" t="n">
        <v>64</v>
      </c>
      <c r="F127" s="10" t="n">
        <f aca="false">E127/'Correction factors'!$B$10</f>
        <v>5.1616</v>
      </c>
      <c r="G127" s="11" t="n">
        <v>356</v>
      </c>
    </row>
    <row r="128" customFormat="false" ht="15" hidden="false" customHeight="false" outlineLevel="0" collapsed="false">
      <c r="A128" s="10" t="n">
        <v>27.6303808689117</v>
      </c>
      <c r="B128" s="11" t="n">
        <v>180</v>
      </c>
      <c r="C128" s="12" t="n">
        <f aca="false">B128*'Correction factors'!$B$7</f>
        <v>871.02</v>
      </c>
      <c r="D128" s="13" t="n">
        <v>5.753652</v>
      </c>
      <c r="E128" s="14" t="n">
        <v>64</v>
      </c>
      <c r="F128" s="10" t="n">
        <f aca="false">E128/'Correction factors'!$B$10</f>
        <v>5.1616</v>
      </c>
      <c r="G128" s="11" t="n">
        <v>355</v>
      </c>
    </row>
    <row r="129" customFormat="false" ht="15" hidden="false" customHeight="false" outlineLevel="0" collapsed="false">
      <c r="A129" s="10" t="n">
        <v>27.6303808689117</v>
      </c>
      <c r="B129" s="11" t="n">
        <v>180</v>
      </c>
      <c r="C129" s="12" t="n">
        <f aca="false">B129*'Correction factors'!$B$7</f>
        <v>871.02</v>
      </c>
      <c r="D129" s="13" t="n">
        <v>5.734009</v>
      </c>
      <c r="E129" s="14" t="n">
        <v>64</v>
      </c>
      <c r="F129" s="10" t="n">
        <f aca="false">E129/'Correction factors'!$B$10</f>
        <v>5.1616</v>
      </c>
      <c r="G129" s="11" t="n">
        <v>356</v>
      </c>
    </row>
    <row r="130" customFormat="false" ht="15" hidden="false" customHeight="false" outlineLevel="0" collapsed="false">
      <c r="A130" s="10" t="n">
        <v>28.0604386329651</v>
      </c>
      <c r="B130" s="11" t="n">
        <v>200</v>
      </c>
      <c r="C130" s="12" t="n">
        <f aca="false">B130*'Correction factors'!$B$7</f>
        <v>967.8</v>
      </c>
      <c r="D130" s="13" t="n">
        <v>5.704544</v>
      </c>
      <c r="E130" s="14" t="n">
        <v>64</v>
      </c>
      <c r="F130" s="10" t="n">
        <f aca="false">E130/'Correction factors'!$B$10</f>
        <v>5.1616</v>
      </c>
      <c r="G130" s="11" t="n">
        <v>357</v>
      </c>
    </row>
    <row r="131" customFormat="false" ht="15" hidden="false" customHeight="false" outlineLevel="0" collapsed="false">
      <c r="A131" s="10" t="n">
        <v>28.0604386329651</v>
      </c>
      <c r="B131" s="11" t="n">
        <v>200</v>
      </c>
      <c r="C131" s="12" t="n">
        <f aca="false">B131*'Correction factors'!$B$7</f>
        <v>967.8</v>
      </c>
      <c r="D131" s="13" t="n">
        <v>5.694722</v>
      </c>
      <c r="E131" s="14" t="n">
        <v>72</v>
      </c>
      <c r="F131" s="10" t="n">
        <f aca="false">E131/'Correction factors'!$B$10</f>
        <v>5.8068</v>
      </c>
      <c r="G131" s="11" t="n">
        <v>357</v>
      </c>
    </row>
    <row r="132" customFormat="false" ht="15" hidden="false" customHeight="false" outlineLevel="0" collapsed="false">
      <c r="A132" s="10" t="n">
        <v>28.4931483268738</v>
      </c>
      <c r="B132" s="11" t="n">
        <v>180</v>
      </c>
      <c r="C132" s="12" t="n">
        <f aca="false">B132*'Correction factors'!$B$7</f>
        <v>871.02</v>
      </c>
      <c r="D132" s="13" t="n">
        <v>5.684901</v>
      </c>
      <c r="E132" s="14" t="n">
        <v>64</v>
      </c>
      <c r="F132" s="10" t="n">
        <f aca="false">E132/'Correction factors'!$B$10</f>
        <v>5.1616</v>
      </c>
      <c r="G132" s="11" t="n">
        <v>356</v>
      </c>
    </row>
    <row r="133" customFormat="false" ht="15" hidden="false" customHeight="false" outlineLevel="0" collapsed="false">
      <c r="A133" s="10" t="n">
        <v>28.4931483268738</v>
      </c>
      <c r="B133" s="11" t="n">
        <v>180</v>
      </c>
      <c r="C133" s="12" t="n">
        <f aca="false">B133*'Correction factors'!$B$7</f>
        <v>871.02</v>
      </c>
      <c r="D133" s="13" t="n">
        <v>5.645614</v>
      </c>
      <c r="E133" s="14" t="n">
        <v>64</v>
      </c>
      <c r="F133" s="10" t="n">
        <f aca="false">E133/'Correction factors'!$B$10</f>
        <v>5.1616</v>
      </c>
      <c r="G133" s="11" t="n">
        <v>357</v>
      </c>
    </row>
    <row r="134" customFormat="false" ht="15" hidden="false" customHeight="false" outlineLevel="0" collapsed="false">
      <c r="A134" s="10" t="n">
        <v>28.9322779178619</v>
      </c>
      <c r="B134" s="11" t="n">
        <v>180</v>
      </c>
      <c r="C134" s="12" t="n">
        <f aca="false">B134*'Correction factors'!$B$7</f>
        <v>871.02</v>
      </c>
      <c r="D134" s="13" t="n">
        <v>5.635793</v>
      </c>
      <c r="E134" s="14" t="n">
        <v>64</v>
      </c>
      <c r="F134" s="10" t="n">
        <f aca="false">E134/'Correction factors'!$B$10</f>
        <v>5.1616</v>
      </c>
      <c r="G134" s="11" t="n">
        <v>358</v>
      </c>
    </row>
    <row r="135" customFormat="false" ht="15" hidden="false" customHeight="false" outlineLevel="0" collapsed="false">
      <c r="A135" s="10" t="n">
        <v>28.9322779178619</v>
      </c>
      <c r="B135" s="11" t="n">
        <v>180</v>
      </c>
      <c r="C135" s="12" t="n">
        <f aca="false">B135*'Correction factors'!$B$7</f>
        <v>871.02</v>
      </c>
      <c r="D135" s="13" t="n">
        <v>5.606328</v>
      </c>
      <c r="E135" s="14" t="n">
        <v>72</v>
      </c>
      <c r="F135" s="10" t="n">
        <f aca="false">E135/'Correction factors'!$B$10</f>
        <v>5.8068</v>
      </c>
      <c r="G135" s="11" t="n">
        <v>358</v>
      </c>
    </row>
    <row r="136" customFormat="false" ht="15" hidden="false" customHeight="false" outlineLevel="0" collapsed="false">
      <c r="A136" s="10" t="n">
        <v>29.3954610824585</v>
      </c>
      <c r="B136" s="11" t="n">
        <v>220</v>
      </c>
      <c r="C136" s="12" t="n">
        <f aca="false">B136*'Correction factors'!$B$7</f>
        <v>1064.58</v>
      </c>
      <c r="D136" s="13" t="n">
        <v>5.576863</v>
      </c>
      <c r="E136" s="14" t="n">
        <v>104</v>
      </c>
      <c r="F136" s="10" t="n">
        <f aca="false">E136/'Correction factors'!$B$10</f>
        <v>8.3876</v>
      </c>
      <c r="G136" s="11" t="n">
        <v>358</v>
      </c>
    </row>
    <row r="137" customFormat="false" ht="15" hidden="false" customHeight="false" outlineLevel="0" collapsed="false">
      <c r="A137" s="10" t="n">
        <v>29.3954610824585</v>
      </c>
      <c r="B137" s="11" t="n">
        <v>180</v>
      </c>
      <c r="C137" s="12" t="n">
        <f aca="false">B137*'Correction factors'!$B$7</f>
        <v>871.02</v>
      </c>
      <c r="D137" s="13" t="n">
        <v>5.55722</v>
      </c>
      <c r="E137" s="14" t="n">
        <v>64</v>
      </c>
      <c r="F137" s="10" t="n">
        <f aca="false">E137/'Correction factors'!$B$10</f>
        <v>5.1616</v>
      </c>
      <c r="G137" s="11" t="n">
        <v>357</v>
      </c>
    </row>
    <row r="138" customFormat="false" ht="15" hidden="false" customHeight="false" outlineLevel="0" collapsed="false">
      <c r="A138" s="10" t="n">
        <v>29.3954610824585</v>
      </c>
      <c r="B138" s="11" t="n">
        <v>200</v>
      </c>
      <c r="C138" s="12" t="n">
        <f aca="false">B138*'Correction factors'!$B$7</f>
        <v>967.8</v>
      </c>
      <c r="D138" s="13" t="n">
        <v>5.547399</v>
      </c>
      <c r="E138" s="14" t="n">
        <v>72</v>
      </c>
      <c r="F138" s="10" t="n">
        <f aca="false">E138/'Correction factors'!$B$10</f>
        <v>5.8068</v>
      </c>
      <c r="G138" s="11" t="n">
        <v>357</v>
      </c>
    </row>
    <row r="139" customFormat="false" ht="15" hidden="false" customHeight="false" outlineLevel="0" collapsed="false">
      <c r="A139" s="10" t="n">
        <v>29.8492205142975</v>
      </c>
      <c r="B139" s="11" t="n">
        <v>200</v>
      </c>
      <c r="C139" s="12" t="n">
        <f aca="false">B139*'Correction factors'!$B$7</f>
        <v>967.8</v>
      </c>
      <c r="D139" s="13" t="n">
        <v>5.517933</v>
      </c>
      <c r="E139" s="14" t="n">
        <v>72</v>
      </c>
      <c r="F139" s="10" t="n">
        <f aca="false">E139/'Correction factors'!$B$10</f>
        <v>5.8068</v>
      </c>
      <c r="G139" s="11" t="n">
        <v>357</v>
      </c>
    </row>
    <row r="140" customFormat="false" ht="15" hidden="false" customHeight="false" outlineLevel="0" collapsed="false">
      <c r="A140" s="10" t="n">
        <v>29.8492205142975</v>
      </c>
      <c r="B140" s="11" t="n">
        <v>200</v>
      </c>
      <c r="C140" s="12" t="n">
        <f aca="false">B140*'Correction factors'!$B$7</f>
        <v>967.8</v>
      </c>
      <c r="D140" s="13" t="n">
        <v>5.517933</v>
      </c>
      <c r="E140" s="14" t="n">
        <v>64</v>
      </c>
      <c r="F140" s="10" t="n">
        <f aca="false">E140/'Correction factors'!$B$10</f>
        <v>5.1616</v>
      </c>
      <c r="G140" s="11" t="n">
        <v>358</v>
      </c>
    </row>
    <row r="141" customFormat="false" ht="15" hidden="false" customHeight="false" outlineLevel="0" collapsed="false">
      <c r="A141" s="10" t="n">
        <v>30.2815580368042</v>
      </c>
      <c r="B141" s="11" t="n">
        <v>200</v>
      </c>
      <c r="C141" s="12" t="n">
        <f aca="false">B141*'Correction factors'!$B$7</f>
        <v>967.8</v>
      </c>
      <c r="D141" s="13" t="n">
        <v>5.508112</v>
      </c>
      <c r="E141" s="14" t="n">
        <v>72</v>
      </c>
      <c r="F141" s="10" t="n">
        <f aca="false">E141/'Correction factors'!$B$10</f>
        <v>5.8068</v>
      </c>
      <c r="G141" s="11" t="n">
        <v>358</v>
      </c>
    </row>
    <row r="142" customFormat="false" ht="15" hidden="false" customHeight="false" outlineLevel="0" collapsed="false">
      <c r="A142" s="10" t="n">
        <v>30.2815580368042</v>
      </c>
      <c r="B142" s="11" t="n">
        <v>200</v>
      </c>
      <c r="C142" s="12" t="n">
        <f aca="false">B142*'Correction factors'!$B$7</f>
        <v>967.8</v>
      </c>
      <c r="D142" s="13" t="n">
        <v>5.488469</v>
      </c>
      <c r="E142" s="14" t="n">
        <v>64</v>
      </c>
      <c r="F142" s="10" t="n">
        <f aca="false">E142/'Correction factors'!$B$10</f>
        <v>5.1616</v>
      </c>
      <c r="G142" s="11" t="n">
        <v>357</v>
      </c>
    </row>
    <row r="143" customFormat="false" ht="15" hidden="false" customHeight="false" outlineLevel="0" collapsed="false">
      <c r="A143" s="10" t="n">
        <v>30.7284963130951</v>
      </c>
      <c r="B143" s="11" t="n">
        <v>180</v>
      </c>
      <c r="C143" s="12" t="n">
        <f aca="false">B143*'Correction factors'!$B$7</f>
        <v>871.02</v>
      </c>
      <c r="D143" s="13" t="n">
        <v>5.488469</v>
      </c>
      <c r="E143" s="14" t="n">
        <v>72</v>
      </c>
      <c r="F143" s="10" t="n">
        <f aca="false">E143/'Correction factors'!$B$10</f>
        <v>5.8068</v>
      </c>
      <c r="G143" s="11" t="n">
        <v>358</v>
      </c>
    </row>
    <row r="144" customFormat="false" ht="15" hidden="false" customHeight="false" outlineLevel="0" collapsed="false">
      <c r="A144" s="10" t="n">
        <v>30.7284963130951</v>
      </c>
      <c r="B144" s="11" t="n">
        <v>180</v>
      </c>
      <c r="C144" s="12" t="n">
        <f aca="false">B144*'Correction factors'!$B$7</f>
        <v>871.02</v>
      </c>
      <c r="D144" s="13" t="n">
        <v>5.478647</v>
      </c>
      <c r="E144" s="14" t="n">
        <v>64</v>
      </c>
      <c r="F144" s="10" t="n">
        <f aca="false">E144/'Correction factors'!$B$10</f>
        <v>5.1616</v>
      </c>
      <c r="G144" s="11" t="n">
        <v>358</v>
      </c>
    </row>
    <row r="145" customFormat="false" ht="15" hidden="false" customHeight="false" outlineLevel="0" collapsed="false">
      <c r="A145" s="10" t="n">
        <v>31.1779930591583</v>
      </c>
      <c r="B145" s="11" t="n">
        <v>180</v>
      </c>
      <c r="C145" s="12" t="n">
        <f aca="false">B145*'Correction factors'!$B$7</f>
        <v>871.02</v>
      </c>
      <c r="D145" s="13" t="n">
        <v>5.468826</v>
      </c>
      <c r="E145" s="14" t="n">
        <v>72</v>
      </c>
      <c r="F145" s="10" t="n">
        <f aca="false">E145/'Correction factors'!$B$10</f>
        <v>5.8068</v>
      </c>
      <c r="G145" s="11" t="n">
        <v>359</v>
      </c>
    </row>
    <row r="146" customFormat="false" ht="15" hidden="false" customHeight="false" outlineLevel="0" collapsed="false">
      <c r="A146" s="10" t="n">
        <v>31.1779930591583</v>
      </c>
      <c r="B146" s="11" t="n">
        <v>200</v>
      </c>
      <c r="C146" s="12" t="n">
        <f aca="false">B146*'Correction factors'!$B$7</f>
        <v>967.8</v>
      </c>
      <c r="D146" s="13" t="n">
        <v>5.459004</v>
      </c>
      <c r="E146" s="14" t="n">
        <v>72</v>
      </c>
      <c r="F146" s="10" t="n">
        <f aca="false">E146/'Correction factors'!$B$10</f>
        <v>5.8068</v>
      </c>
      <c r="G146" s="11" t="n">
        <v>359</v>
      </c>
    </row>
    <row r="147" customFormat="false" ht="15" hidden="false" customHeight="false" outlineLevel="0" collapsed="false">
      <c r="A147" s="10" t="n">
        <v>31.630619764328</v>
      </c>
      <c r="B147" s="11" t="n">
        <v>200</v>
      </c>
      <c r="C147" s="12" t="n">
        <f aca="false">B147*'Correction factors'!$B$7</f>
        <v>967.8</v>
      </c>
      <c r="D147" s="13" t="n">
        <v>5.439361</v>
      </c>
      <c r="E147" s="14" t="n">
        <v>72</v>
      </c>
      <c r="F147" s="10" t="n">
        <f aca="false">E147/'Correction factors'!$B$10</f>
        <v>5.8068</v>
      </c>
      <c r="G147" s="11" t="n">
        <v>358</v>
      </c>
    </row>
    <row r="148" customFormat="false" ht="15" hidden="false" customHeight="false" outlineLevel="0" collapsed="false">
      <c r="A148" s="10" t="n">
        <v>31.630619764328</v>
      </c>
      <c r="B148" s="11" t="n">
        <v>200</v>
      </c>
      <c r="C148" s="12" t="n">
        <f aca="false">B148*'Correction factors'!$B$7</f>
        <v>967.8</v>
      </c>
      <c r="D148" s="13" t="n">
        <v>5.439361</v>
      </c>
      <c r="E148" s="14" t="n">
        <v>72</v>
      </c>
      <c r="F148" s="10" t="n">
        <f aca="false">E148/'Correction factors'!$B$10</f>
        <v>5.8068</v>
      </c>
      <c r="G148" s="11" t="n">
        <v>358</v>
      </c>
    </row>
    <row r="149" customFormat="false" ht="15" hidden="false" customHeight="false" outlineLevel="0" collapsed="false">
      <c r="A149" s="10" t="n">
        <v>31.630619764328</v>
      </c>
      <c r="B149" s="11" t="n">
        <v>200</v>
      </c>
      <c r="C149" s="12" t="n">
        <f aca="false">B149*'Correction factors'!$B$7</f>
        <v>967.8</v>
      </c>
      <c r="D149" s="13" t="n">
        <v>5.429539</v>
      </c>
      <c r="E149" s="14" t="n">
        <v>72</v>
      </c>
      <c r="F149" s="10" t="n">
        <f aca="false">E149/'Correction factors'!$B$10</f>
        <v>5.8068</v>
      </c>
      <c r="G149" s="11" t="n">
        <v>358</v>
      </c>
    </row>
    <row r="150" customFormat="false" ht="15" hidden="false" customHeight="false" outlineLevel="0" collapsed="false">
      <c r="A150" s="10" t="n">
        <v>32.1359527111054</v>
      </c>
      <c r="B150" s="11" t="n">
        <v>200</v>
      </c>
      <c r="C150" s="12" t="n">
        <f aca="false">B150*'Correction factors'!$B$7</f>
        <v>967.8</v>
      </c>
      <c r="D150" s="13" t="n">
        <v>5.419718</v>
      </c>
      <c r="E150" s="14" t="n">
        <v>72</v>
      </c>
      <c r="F150" s="10" t="n">
        <f aca="false">E150/'Correction factors'!$B$10</f>
        <v>5.8068</v>
      </c>
      <c r="G150" s="11" t="n">
        <v>358</v>
      </c>
    </row>
    <row r="151" customFormat="false" ht="15" hidden="false" customHeight="false" outlineLevel="0" collapsed="false">
      <c r="A151" s="10" t="n">
        <v>32.1359527111054</v>
      </c>
      <c r="B151" s="11" t="n">
        <v>200</v>
      </c>
      <c r="C151" s="12" t="n">
        <f aca="false">B151*'Correction factors'!$B$7</f>
        <v>967.8</v>
      </c>
      <c r="D151" s="13" t="n">
        <v>5.419718</v>
      </c>
      <c r="E151" s="14" t="n">
        <v>72</v>
      </c>
      <c r="F151" s="10" t="n">
        <f aca="false">E151/'Correction factors'!$B$10</f>
        <v>5.8068</v>
      </c>
      <c r="G151" s="11" t="n">
        <v>358</v>
      </c>
    </row>
    <row r="152" customFormat="false" ht="15" hidden="false" customHeight="false" outlineLevel="0" collapsed="false">
      <c r="A152" s="10" t="n">
        <v>32.585795879364</v>
      </c>
      <c r="B152" s="11" t="n">
        <v>200</v>
      </c>
      <c r="C152" s="12" t="n">
        <f aca="false">B152*'Correction factors'!$B$7</f>
        <v>967.8</v>
      </c>
      <c r="D152" s="13" t="n">
        <v>5.409896</v>
      </c>
      <c r="E152" s="14" t="n">
        <v>72</v>
      </c>
      <c r="F152" s="10" t="n">
        <f aca="false">E152/'Correction factors'!$B$10</f>
        <v>5.8068</v>
      </c>
      <c r="G152" s="11" t="n">
        <v>358</v>
      </c>
    </row>
    <row r="153" customFormat="false" ht="15" hidden="false" customHeight="false" outlineLevel="0" collapsed="false">
      <c r="A153" s="10" t="n">
        <v>32.585795879364</v>
      </c>
      <c r="B153" s="11" t="n">
        <v>200</v>
      </c>
      <c r="C153" s="12" t="n">
        <f aca="false">B153*'Correction factors'!$B$7</f>
        <v>967.8</v>
      </c>
      <c r="D153" s="13" t="n">
        <v>5.409896</v>
      </c>
      <c r="E153" s="14" t="n">
        <v>72</v>
      </c>
      <c r="F153" s="10" t="n">
        <f aca="false">E153/'Correction factors'!$B$10</f>
        <v>5.8068</v>
      </c>
      <c r="G153" s="11" t="n">
        <v>358</v>
      </c>
    </row>
    <row r="154" customFormat="false" ht="15" hidden="false" customHeight="false" outlineLevel="0" collapsed="false">
      <c r="A154" s="10" t="n">
        <v>33.0386271476746</v>
      </c>
      <c r="B154" s="11" t="n">
        <v>200</v>
      </c>
      <c r="C154" s="12" t="n">
        <f aca="false">B154*'Correction factors'!$B$7</f>
        <v>967.8</v>
      </c>
      <c r="D154" s="13" t="n">
        <v>5.409896</v>
      </c>
      <c r="E154" s="14" t="n">
        <v>72</v>
      </c>
      <c r="F154" s="10" t="n">
        <f aca="false">E154/'Correction factors'!$B$10</f>
        <v>5.8068</v>
      </c>
      <c r="G154" s="11" t="n">
        <v>358</v>
      </c>
    </row>
    <row r="155" customFormat="false" ht="15" hidden="false" customHeight="false" outlineLevel="0" collapsed="false">
      <c r="A155" s="10" t="n">
        <v>33.0386271476746</v>
      </c>
      <c r="B155" s="11" t="n">
        <v>220</v>
      </c>
      <c r="C155" s="12" t="n">
        <f aca="false">B155*'Correction factors'!$B$7</f>
        <v>1064.58</v>
      </c>
      <c r="D155" s="13" t="n">
        <v>5.409896</v>
      </c>
      <c r="E155" s="14" t="n">
        <v>72</v>
      </c>
      <c r="F155" s="10" t="n">
        <f aca="false">E155/'Correction factors'!$B$10</f>
        <v>5.8068</v>
      </c>
      <c r="G155" s="11" t="n">
        <v>358</v>
      </c>
    </row>
    <row r="156" customFormat="false" ht="15" hidden="false" customHeight="false" outlineLevel="0" collapsed="false">
      <c r="A156" s="10" t="n">
        <v>33.5211329460144</v>
      </c>
      <c r="B156" s="11" t="n">
        <v>200</v>
      </c>
      <c r="C156" s="12" t="n">
        <f aca="false">B156*'Correction factors'!$B$7</f>
        <v>967.8</v>
      </c>
      <c r="D156" s="13" t="n">
        <v>5.409896</v>
      </c>
      <c r="E156" s="14" t="n">
        <v>72</v>
      </c>
      <c r="F156" s="10" t="n">
        <f aca="false">E156/'Correction factors'!$B$10</f>
        <v>5.8068</v>
      </c>
      <c r="G156" s="11" t="n">
        <v>357</v>
      </c>
    </row>
    <row r="157" customFormat="false" ht="15" hidden="false" customHeight="false" outlineLevel="0" collapsed="false">
      <c r="A157" s="10" t="n">
        <v>33.5211329460144</v>
      </c>
      <c r="B157" s="11" t="n">
        <v>200</v>
      </c>
      <c r="C157" s="12" t="n">
        <f aca="false">B157*'Correction factors'!$B$7</f>
        <v>967.8</v>
      </c>
      <c r="D157" s="13" t="n">
        <v>5.400074</v>
      </c>
      <c r="E157" s="14" t="n">
        <v>72</v>
      </c>
      <c r="F157" s="10" t="n">
        <f aca="false">E157/'Correction factors'!$B$10</f>
        <v>5.8068</v>
      </c>
      <c r="G157" s="11" t="n">
        <v>358</v>
      </c>
    </row>
    <row r="158" customFormat="false" ht="15" hidden="false" customHeight="false" outlineLevel="0" collapsed="false">
      <c r="A158" s="10" t="n">
        <v>33.5211329460144</v>
      </c>
      <c r="B158" s="11" t="n">
        <v>200</v>
      </c>
      <c r="C158" s="12" t="n">
        <f aca="false">B158*'Correction factors'!$B$7</f>
        <v>967.8</v>
      </c>
      <c r="D158" s="13" t="n">
        <v>5.409896</v>
      </c>
      <c r="E158" s="14" t="n">
        <v>72</v>
      </c>
      <c r="F158" s="10" t="n">
        <f aca="false">E158/'Correction factors'!$B$10</f>
        <v>5.8068</v>
      </c>
      <c r="G158" s="11" t="n">
        <v>359</v>
      </c>
    </row>
    <row r="159" customFormat="false" ht="15" hidden="false" customHeight="false" outlineLevel="0" collapsed="false">
      <c r="A159" s="10" t="n">
        <v>33.9897224903107</v>
      </c>
      <c r="B159" s="11" t="n">
        <v>200</v>
      </c>
      <c r="C159" s="12" t="n">
        <f aca="false">B159*'Correction factors'!$B$7</f>
        <v>967.8</v>
      </c>
      <c r="D159" s="13" t="n">
        <v>5.400074</v>
      </c>
      <c r="E159" s="14" t="n">
        <v>72</v>
      </c>
      <c r="F159" s="10" t="n">
        <f aca="false">E159/'Correction factors'!$B$10</f>
        <v>5.8068</v>
      </c>
      <c r="G159" s="11" t="n">
        <v>359</v>
      </c>
    </row>
    <row r="160" customFormat="false" ht="15" hidden="false" customHeight="false" outlineLevel="0" collapsed="false">
      <c r="A160" s="10" t="n">
        <v>33.9897224903107</v>
      </c>
      <c r="B160" s="11" t="n">
        <v>200</v>
      </c>
      <c r="C160" s="12" t="n">
        <f aca="false">B160*'Correction factors'!$B$7</f>
        <v>967.8</v>
      </c>
      <c r="D160" s="13" t="n">
        <v>5.400074</v>
      </c>
      <c r="E160" s="14" t="n">
        <v>72</v>
      </c>
      <c r="F160" s="10" t="n">
        <f aca="false">E160/'Correction factors'!$B$10</f>
        <v>5.8068</v>
      </c>
      <c r="G160" s="11" t="n">
        <v>358</v>
      </c>
    </row>
    <row r="161" customFormat="false" ht="15" hidden="false" customHeight="false" outlineLevel="0" collapsed="false">
      <c r="A161" s="10" t="n">
        <v>34.4407386779785</v>
      </c>
      <c r="B161" s="11" t="n">
        <v>200</v>
      </c>
      <c r="C161" s="12" t="n">
        <f aca="false">B161*'Correction factors'!$B$7</f>
        <v>967.8</v>
      </c>
      <c r="D161" s="13" t="n">
        <v>5.400074</v>
      </c>
      <c r="E161" s="14" t="n">
        <v>72</v>
      </c>
      <c r="F161" s="10" t="n">
        <f aca="false">E161/'Correction factors'!$B$10</f>
        <v>5.8068</v>
      </c>
      <c r="G161" s="11" t="n">
        <v>359</v>
      </c>
    </row>
    <row r="162" customFormat="false" ht="15" hidden="false" customHeight="false" outlineLevel="0" collapsed="false">
      <c r="A162" s="10" t="n">
        <v>34.4407386779785</v>
      </c>
      <c r="B162" s="11" t="n">
        <v>200</v>
      </c>
      <c r="C162" s="12" t="n">
        <f aca="false">B162*'Correction factors'!$B$7</f>
        <v>967.8</v>
      </c>
      <c r="D162" s="13" t="n">
        <v>5.400074</v>
      </c>
      <c r="E162" s="14" t="n">
        <v>72</v>
      </c>
      <c r="F162" s="10" t="n">
        <f aca="false">E162/'Correction factors'!$B$10</f>
        <v>5.8068</v>
      </c>
      <c r="G162" s="11" t="n">
        <v>359</v>
      </c>
    </row>
    <row r="163" customFormat="false" ht="15" hidden="false" customHeight="false" outlineLevel="0" collapsed="false">
      <c r="A163" s="10" t="n">
        <v>34.8944580554962</v>
      </c>
      <c r="B163" s="11" t="n">
        <v>200</v>
      </c>
      <c r="C163" s="12" t="n">
        <f aca="false">B163*'Correction factors'!$B$7</f>
        <v>967.8</v>
      </c>
      <c r="D163" s="13" t="n">
        <v>5.390253</v>
      </c>
      <c r="E163" s="14" t="n">
        <v>72</v>
      </c>
      <c r="F163" s="10" t="n">
        <f aca="false">E163/'Correction factors'!$B$10</f>
        <v>5.8068</v>
      </c>
      <c r="G163" s="11" t="n">
        <v>358</v>
      </c>
    </row>
    <row r="164" customFormat="false" ht="15" hidden="false" customHeight="false" outlineLevel="0" collapsed="false">
      <c r="A164" s="10" t="n">
        <v>34.8944580554962</v>
      </c>
      <c r="B164" s="11" t="n">
        <v>200</v>
      </c>
      <c r="C164" s="12" t="n">
        <f aca="false">B164*'Correction factors'!$B$7</f>
        <v>967.8</v>
      </c>
      <c r="D164" s="13" t="n">
        <v>5.390253</v>
      </c>
      <c r="E164" s="14" t="n">
        <v>72</v>
      </c>
      <c r="F164" s="10" t="n">
        <f aca="false">E164/'Correction factors'!$B$10</f>
        <v>5.8068</v>
      </c>
      <c r="G164" s="11" t="n">
        <v>359</v>
      </c>
    </row>
    <row r="165" customFormat="false" ht="15" hidden="false" customHeight="false" outlineLevel="0" collapsed="false">
      <c r="A165" s="10" t="n">
        <v>35.3458771705627</v>
      </c>
      <c r="B165" s="11" t="n">
        <v>180</v>
      </c>
      <c r="C165" s="12" t="n">
        <f aca="false">B165*'Correction factors'!$B$7</f>
        <v>871.02</v>
      </c>
      <c r="D165" s="13" t="n">
        <v>5.390253</v>
      </c>
      <c r="E165" s="14" t="n">
        <v>72</v>
      </c>
      <c r="F165" s="10" t="n">
        <f aca="false">E165/'Correction factors'!$B$10</f>
        <v>5.8068</v>
      </c>
      <c r="G165" s="11" t="n">
        <v>359</v>
      </c>
    </row>
    <row r="166" customFormat="false" ht="15" hidden="false" customHeight="false" outlineLevel="0" collapsed="false">
      <c r="A166" s="10" t="n">
        <v>35.3458771705627</v>
      </c>
      <c r="B166" s="11" t="n">
        <v>200</v>
      </c>
      <c r="C166" s="12" t="n">
        <f aca="false">B166*'Correction factors'!$B$7</f>
        <v>967.8</v>
      </c>
      <c r="D166" s="13" t="n">
        <v>5.390253</v>
      </c>
      <c r="E166" s="14" t="n">
        <v>72</v>
      </c>
      <c r="F166" s="10" t="n">
        <f aca="false">E166/'Correction factors'!$B$10</f>
        <v>5.8068</v>
      </c>
      <c r="G166" s="11" t="n">
        <v>358</v>
      </c>
    </row>
    <row r="167" customFormat="false" ht="15" hidden="false" customHeight="false" outlineLevel="0" collapsed="false">
      <c r="A167" s="10" t="n">
        <v>35.8038678169251</v>
      </c>
      <c r="B167" s="11" t="n">
        <v>180</v>
      </c>
      <c r="C167" s="12" t="n">
        <f aca="false">B167*'Correction factors'!$B$7</f>
        <v>871.02</v>
      </c>
      <c r="D167" s="13" t="n">
        <v>5.380431</v>
      </c>
      <c r="E167" s="14" t="n">
        <v>72</v>
      </c>
      <c r="F167" s="10" t="n">
        <f aca="false">E167/'Correction factors'!$B$10</f>
        <v>5.8068</v>
      </c>
      <c r="G167" s="11" t="n">
        <v>359</v>
      </c>
    </row>
    <row r="168" customFormat="false" ht="15" hidden="false" customHeight="false" outlineLevel="0" collapsed="false">
      <c r="A168" s="10" t="n">
        <v>35.8038678169251</v>
      </c>
      <c r="B168" s="11" t="n">
        <v>200</v>
      </c>
      <c r="C168" s="12" t="n">
        <f aca="false">B168*'Correction factors'!$B$7</f>
        <v>967.8</v>
      </c>
      <c r="D168" s="13" t="n">
        <v>5.380431</v>
      </c>
      <c r="E168" s="14" t="n">
        <v>72</v>
      </c>
      <c r="F168" s="10" t="n">
        <f aca="false">E168/'Correction factors'!$B$10</f>
        <v>5.8068</v>
      </c>
      <c r="G168" s="11" t="n">
        <v>360</v>
      </c>
    </row>
    <row r="169" customFormat="false" ht="15" hidden="false" customHeight="false" outlineLevel="0" collapsed="false">
      <c r="A169" s="10" t="n">
        <v>35.8038678169251</v>
      </c>
      <c r="B169" s="11" t="n">
        <v>180</v>
      </c>
      <c r="C169" s="12" t="n">
        <f aca="false">B169*'Correction factors'!$B$7</f>
        <v>871.02</v>
      </c>
      <c r="D169" s="13" t="n">
        <v>5.380431</v>
      </c>
      <c r="E169" s="14" t="n">
        <v>72</v>
      </c>
      <c r="F169" s="10" t="n">
        <f aca="false">E169/'Correction factors'!$B$10</f>
        <v>5.8068</v>
      </c>
      <c r="G169" s="11" t="n">
        <v>360</v>
      </c>
    </row>
    <row r="170" customFormat="false" ht="15" hidden="false" customHeight="false" outlineLevel="0" collapsed="false">
      <c r="A170" s="10" t="n">
        <v>36.3012912273407</v>
      </c>
      <c r="B170" s="11" t="n">
        <v>180</v>
      </c>
      <c r="C170" s="12" t="n">
        <f aca="false">B170*'Correction factors'!$B$7</f>
        <v>871.02</v>
      </c>
      <c r="D170" s="13" t="n">
        <v>5.380431</v>
      </c>
      <c r="E170" s="14" t="n">
        <v>72</v>
      </c>
      <c r="F170" s="10" t="n">
        <f aca="false">E170/'Correction factors'!$B$10</f>
        <v>5.8068</v>
      </c>
      <c r="G170" s="11" t="n">
        <v>360</v>
      </c>
    </row>
    <row r="171" customFormat="false" ht="15" hidden="false" customHeight="false" outlineLevel="0" collapsed="false">
      <c r="A171" s="10" t="n">
        <v>36.3012912273407</v>
      </c>
      <c r="B171" s="11" t="n">
        <v>200</v>
      </c>
      <c r="C171" s="12" t="n">
        <f aca="false">B171*'Correction factors'!$B$7</f>
        <v>967.8</v>
      </c>
      <c r="D171" s="13" t="n">
        <v>5.37061</v>
      </c>
      <c r="E171" s="14" t="n">
        <v>80</v>
      </c>
      <c r="F171" s="10" t="n">
        <f aca="false">E171/'Correction factors'!$B$10</f>
        <v>6.452</v>
      </c>
      <c r="G171" s="11" t="n">
        <v>360</v>
      </c>
    </row>
    <row r="172" customFormat="false" ht="15" hidden="false" customHeight="false" outlineLevel="0" collapsed="false">
      <c r="A172" s="10" t="n">
        <v>36.7647466659546</v>
      </c>
      <c r="B172" s="11" t="n">
        <v>220</v>
      </c>
      <c r="C172" s="12" t="n">
        <f aca="false">B172*'Correction factors'!$B$7</f>
        <v>1064.58</v>
      </c>
      <c r="D172" s="13" t="n">
        <v>5.37061</v>
      </c>
      <c r="E172" s="14" t="n">
        <v>72</v>
      </c>
      <c r="F172" s="10" t="n">
        <f aca="false">E172/'Correction factors'!$B$10</f>
        <v>5.8068</v>
      </c>
      <c r="G172" s="11" t="n">
        <v>360</v>
      </c>
    </row>
    <row r="173" customFormat="false" ht="15" hidden="false" customHeight="false" outlineLevel="0" collapsed="false">
      <c r="A173" s="10" t="n">
        <v>36.7647466659546</v>
      </c>
      <c r="B173" s="11" t="n">
        <v>220</v>
      </c>
      <c r="C173" s="12" t="n">
        <f aca="false">B173*'Correction factors'!$B$7</f>
        <v>1064.58</v>
      </c>
      <c r="D173" s="13" t="n">
        <v>5.360788</v>
      </c>
      <c r="E173" s="14" t="n">
        <v>80</v>
      </c>
      <c r="F173" s="10" t="n">
        <f aca="false">E173/'Correction factors'!$B$10</f>
        <v>6.452</v>
      </c>
      <c r="G173" s="11" t="n">
        <v>360</v>
      </c>
    </row>
    <row r="174" customFormat="false" ht="15" hidden="false" customHeight="false" outlineLevel="0" collapsed="false">
      <c r="A174" s="10" t="n">
        <v>37.2267007827759</v>
      </c>
      <c r="B174" s="11" t="n">
        <v>220</v>
      </c>
      <c r="C174" s="12" t="n">
        <f aca="false">B174*'Correction factors'!$B$7</f>
        <v>1064.58</v>
      </c>
      <c r="D174" s="13" t="n">
        <v>5.350966</v>
      </c>
      <c r="E174" s="14" t="n">
        <v>80</v>
      </c>
      <c r="F174" s="10" t="n">
        <f aca="false">E174/'Correction factors'!$B$10</f>
        <v>6.452</v>
      </c>
      <c r="G174" s="11" t="n">
        <v>357</v>
      </c>
    </row>
    <row r="175" customFormat="false" ht="15" hidden="false" customHeight="false" outlineLevel="0" collapsed="false">
      <c r="A175" s="10" t="n">
        <v>37.2267007827759</v>
      </c>
      <c r="B175" s="11" t="n">
        <v>200</v>
      </c>
      <c r="C175" s="12" t="n">
        <f aca="false">B175*'Correction factors'!$B$7</f>
        <v>967.8</v>
      </c>
      <c r="D175" s="13" t="n">
        <v>5.350966</v>
      </c>
      <c r="E175" s="14" t="n">
        <v>72</v>
      </c>
      <c r="F175" s="10" t="n">
        <f aca="false">E175/'Correction factors'!$B$10</f>
        <v>5.8068</v>
      </c>
      <c r="G175" s="11" t="n">
        <v>357</v>
      </c>
    </row>
    <row r="176" customFormat="false" ht="15" hidden="false" customHeight="false" outlineLevel="0" collapsed="false">
      <c r="A176" s="10" t="n">
        <v>37.2267007827759</v>
      </c>
      <c r="B176" s="11" t="n">
        <v>200</v>
      </c>
      <c r="C176" s="12" t="n">
        <f aca="false">B176*'Correction factors'!$B$7</f>
        <v>967.8</v>
      </c>
      <c r="D176" s="13" t="n">
        <v>5.350966</v>
      </c>
      <c r="E176" s="14" t="n">
        <v>80</v>
      </c>
      <c r="F176" s="10" t="n">
        <f aca="false">E176/'Correction factors'!$B$10</f>
        <v>6.452</v>
      </c>
      <c r="G176" s="11" t="n">
        <v>358</v>
      </c>
    </row>
    <row r="177" customFormat="false" ht="15" hidden="false" customHeight="false" outlineLevel="0" collapsed="false">
      <c r="A177" s="10" t="n">
        <v>37.7433724403381</v>
      </c>
      <c r="B177" s="11" t="n">
        <v>200</v>
      </c>
      <c r="C177" s="12" t="n">
        <f aca="false">B177*'Correction factors'!$B$7</f>
        <v>967.8</v>
      </c>
      <c r="D177" s="13" t="n">
        <v>5.350966</v>
      </c>
      <c r="E177" s="14" t="n">
        <v>72</v>
      </c>
      <c r="F177" s="10" t="n">
        <f aca="false">E177/'Correction factors'!$B$10</f>
        <v>5.8068</v>
      </c>
      <c r="G177" s="11" t="n">
        <v>358</v>
      </c>
    </row>
    <row r="178" customFormat="false" ht="15" hidden="false" customHeight="false" outlineLevel="0" collapsed="false">
      <c r="A178" s="10" t="n">
        <v>37.7433724403381</v>
      </c>
      <c r="B178" s="11" t="n">
        <v>200</v>
      </c>
      <c r="C178" s="12" t="n">
        <f aca="false">B178*'Correction factors'!$B$7</f>
        <v>967.8</v>
      </c>
      <c r="D178" s="13" t="n">
        <v>5.341145</v>
      </c>
      <c r="E178" s="14" t="n">
        <v>72</v>
      </c>
      <c r="F178" s="10" t="n">
        <f aca="false">E178/'Correction factors'!$B$10</f>
        <v>5.8068</v>
      </c>
      <c r="G178" s="11" t="n">
        <v>358</v>
      </c>
    </row>
    <row r="179" customFormat="false" ht="15" hidden="false" customHeight="false" outlineLevel="0" collapsed="false">
      <c r="A179" s="10" t="n">
        <v>38.2438051700592</v>
      </c>
      <c r="B179" s="11" t="n">
        <v>200</v>
      </c>
      <c r="C179" s="12" t="n">
        <f aca="false">B179*'Correction factors'!$B$7</f>
        <v>967.8</v>
      </c>
      <c r="D179" s="13" t="n">
        <v>5.341145</v>
      </c>
      <c r="E179" s="14" t="n">
        <v>72</v>
      </c>
      <c r="F179" s="10" t="n">
        <f aca="false">E179/'Correction factors'!$B$10</f>
        <v>5.8068</v>
      </c>
      <c r="G179" s="11" t="n">
        <v>358</v>
      </c>
    </row>
    <row r="180" customFormat="false" ht="15" hidden="false" customHeight="false" outlineLevel="0" collapsed="false">
      <c r="A180" s="10" t="n">
        <v>38.2438051700592</v>
      </c>
      <c r="B180" s="11" t="n">
        <v>200</v>
      </c>
      <c r="C180" s="12" t="n">
        <f aca="false">B180*'Correction factors'!$B$7</f>
        <v>967.8</v>
      </c>
      <c r="D180" s="13" t="n">
        <v>5.331323</v>
      </c>
      <c r="E180" s="14" t="n">
        <v>80</v>
      </c>
      <c r="F180" s="10" t="n">
        <f aca="false">E180/'Correction factors'!$B$10</f>
        <v>6.452</v>
      </c>
      <c r="G180" s="11" t="n">
        <v>358</v>
      </c>
    </row>
    <row r="181" customFormat="false" ht="15" hidden="false" customHeight="false" outlineLevel="0" collapsed="false">
      <c r="A181" s="10" t="n">
        <v>38.6962184906006</v>
      </c>
      <c r="B181" s="11" t="n">
        <v>200</v>
      </c>
      <c r="C181" s="12" t="n">
        <f aca="false">B181*'Correction factors'!$B$7</f>
        <v>967.8</v>
      </c>
      <c r="D181" s="13" t="n">
        <v>5.341145</v>
      </c>
      <c r="E181" s="14" t="n">
        <v>72</v>
      </c>
      <c r="F181" s="10" t="n">
        <f aca="false">E181/'Correction factors'!$B$10</f>
        <v>5.8068</v>
      </c>
      <c r="G181" s="11" t="n">
        <v>358</v>
      </c>
    </row>
    <row r="182" customFormat="false" ht="15" hidden="false" customHeight="false" outlineLevel="0" collapsed="false">
      <c r="A182" s="10" t="n">
        <v>38.6962184906006</v>
      </c>
      <c r="B182" s="11" t="n">
        <v>180</v>
      </c>
      <c r="C182" s="12" t="n">
        <f aca="false">B182*'Correction factors'!$B$7</f>
        <v>871.02</v>
      </c>
      <c r="D182" s="13" t="n">
        <v>5.331323</v>
      </c>
      <c r="E182" s="14" t="n">
        <v>72</v>
      </c>
      <c r="F182" s="10" t="n">
        <f aca="false">E182/'Correction factors'!$B$10</f>
        <v>5.8068</v>
      </c>
      <c r="G182" s="11" t="n">
        <v>359</v>
      </c>
    </row>
    <row r="183" customFormat="false" ht="15" hidden="false" customHeight="false" outlineLevel="0" collapsed="false">
      <c r="A183" s="10" t="n">
        <v>38.6962184906006</v>
      </c>
      <c r="B183" s="11" t="n">
        <v>200</v>
      </c>
      <c r="C183" s="12" t="n">
        <f aca="false">B183*'Correction factors'!$B$7</f>
        <v>967.8</v>
      </c>
      <c r="D183" s="13" t="n">
        <v>5.331323</v>
      </c>
      <c r="E183" s="14" t="n">
        <v>72</v>
      </c>
      <c r="F183" s="10" t="n">
        <f aca="false">E183/'Correction factors'!$B$10</f>
        <v>5.8068</v>
      </c>
      <c r="G183" s="11" t="n">
        <v>360</v>
      </c>
    </row>
    <row r="184" customFormat="false" ht="15" hidden="false" customHeight="false" outlineLevel="0" collapsed="false">
      <c r="A184" s="10" t="n">
        <v>39.1922717094421</v>
      </c>
      <c r="B184" s="11" t="n">
        <v>200</v>
      </c>
      <c r="C184" s="12" t="n">
        <f aca="false">B184*'Correction factors'!$B$7</f>
        <v>967.8</v>
      </c>
      <c r="D184" s="13" t="n">
        <v>5.331323</v>
      </c>
      <c r="E184" s="14" t="n">
        <v>80</v>
      </c>
      <c r="F184" s="10" t="n">
        <f aca="false">E184/'Correction factors'!$B$10</f>
        <v>6.452</v>
      </c>
      <c r="G184" s="11" t="n">
        <v>358</v>
      </c>
    </row>
    <row r="185" customFormat="false" ht="15" hidden="false" customHeight="false" outlineLevel="0" collapsed="false">
      <c r="A185" s="10" t="n">
        <v>39.1922717094421</v>
      </c>
      <c r="B185" s="11" t="n">
        <v>200</v>
      </c>
      <c r="C185" s="12" t="n">
        <f aca="false">B185*'Correction factors'!$B$7</f>
        <v>967.8</v>
      </c>
      <c r="D185" s="13" t="n">
        <v>5.321502</v>
      </c>
      <c r="E185" s="14" t="n">
        <v>72</v>
      </c>
      <c r="F185" s="10" t="n">
        <f aca="false">E185/'Correction factors'!$B$10</f>
        <v>5.8068</v>
      </c>
      <c r="G185" s="11" t="n">
        <v>358</v>
      </c>
    </row>
    <row r="186" customFormat="false" ht="15" hidden="false" customHeight="false" outlineLevel="0" collapsed="false">
      <c r="A186" s="10" t="n">
        <v>39.6525738239288</v>
      </c>
      <c r="B186" s="11" t="n">
        <v>200</v>
      </c>
      <c r="C186" s="12" t="n">
        <f aca="false">B186*'Correction factors'!$B$7</f>
        <v>967.8</v>
      </c>
      <c r="D186" s="13" t="n">
        <v>5.321502</v>
      </c>
      <c r="E186" s="14" t="n">
        <v>72</v>
      </c>
      <c r="F186" s="10" t="n">
        <f aca="false">E186/'Correction factors'!$B$10</f>
        <v>5.8068</v>
      </c>
      <c r="G186" s="11" t="n">
        <v>358</v>
      </c>
    </row>
    <row r="187" customFormat="false" ht="15" hidden="false" customHeight="false" outlineLevel="0" collapsed="false">
      <c r="A187" s="10" t="n">
        <v>39.6525738239288</v>
      </c>
      <c r="B187" s="11" t="n">
        <v>200</v>
      </c>
      <c r="C187" s="12" t="n">
        <f aca="false">B187*'Correction factors'!$B$7</f>
        <v>967.8</v>
      </c>
      <c r="D187" s="13" t="n">
        <v>5.331323</v>
      </c>
      <c r="E187" s="14" t="n">
        <v>80</v>
      </c>
      <c r="F187" s="10" t="n">
        <f aca="false">E187/'Correction factors'!$B$10</f>
        <v>6.452</v>
      </c>
      <c r="G187" s="11" t="n">
        <v>358</v>
      </c>
    </row>
    <row r="188" customFormat="false" ht="15" hidden="false" customHeight="false" outlineLevel="0" collapsed="false">
      <c r="A188" s="10" t="n">
        <v>40.1245167255402</v>
      </c>
      <c r="B188" s="11" t="n">
        <v>220</v>
      </c>
      <c r="C188" s="12" t="n">
        <f aca="false">B188*'Correction factors'!$B$7</f>
        <v>1064.58</v>
      </c>
      <c r="D188" s="13" t="n">
        <v>5.331323</v>
      </c>
      <c r="E188" s="14" t="n">
        <v>72</v>
      </c>
      <c r="F188" s="10" t="n">
        <f aca="false">E188/'Correction factors'!$B$10</f>
        <v>5.8068</v>
      </c>
      <c r="G188" s="11" t="n">
        <v>358</v>
      </c>
    </row>
    <row r="189" customFormat="false" ht="15" hidden="false" customHeight="false" outlineLevel="0" collapsed="false">
      <c r="A189" s="10" t="n">
        <v>40.1245167255402</v>
      </c>
      <c r="B189" s="11" t="n">
        <v>200</v>
      </c>
      <c r="C189" s="12" t="n">
        <f aca="false">B189*'Correction factors'!$B$7</f>
        <v>967.8</v>
      </c>
      <c r="D189" s="13" t="n">
        <v>5.321502</v>
      </c>
      <c r="E189" s="14" t="n">
        <v>72</v>
      </c>
      <c r="F189" s="10" t="n">
        <f aca="false">E189/'Correction factors'!$B$10</f>
        <v>5.8068</v>
      </c>
      <c r="G189" s="11" t="n">
        <v>358</v>
      </c>
    </row>
    <row r="190" customFormat="false" ht="15" hidden="false" customHeight="false" outlineLevel="0" collapsed="false">
      <c r="A190" s="10" t="n">
        <v>40.1245167255402</v>
      </c>
      <c r="B190" s="11" t="n">
        <v>200</v>
      </c>
      <c r="C190" s="12" t="n">
        <f aca="false">B190*'Correction factors'!$B$7</f>
        <v>967.8</v>
      </c>
      <c r="D190" s="13" t="n">
        <v>5.321502</v>
      </c>
      <c r="E190" s="14" t="n">
        <v>80</v>
      </c>
      <c r="F190" s="10" t="n">
        <f aca="false">E190/'Correction factors'!$B$10</f>
        <v>6.452</v>
      </c>
      <c r="G190" s="11" t="n">
        <v>359</v>
      </c>
    </row>
    <row r="191" customFormat="false" ht="15" hidden="false" customHeight="false" outlineLevel="0" collapsed="false">
      <c r="A191" s="10" t="n">
        <v>40.620756149292</v>
      </c>
      <c r="B191" s="11" t="n">
        <v>200</v>
      </c>
      <c r="C191" s="12" t="n">
        <f aca="false">B191*'Correction factors'!$B$7</f>
        <v>967.8</v>
      </c>
      <c r="D191" s="13" t="n">
        <v>5.31168</v>
      </c>
      <c r="E191" s="14" t="n">
        <v>72</v>
      </c>
      <c r="F191" s="10" t="n">
        <f aca="false">E191/'Correction factors'!$B$10</f>
        <v>5.8068</v>
      </c>
      <c r="G191" s="11" t="n">
        <v>359</v>
      </c>
    </row>
    <row r="192" customFormat="false" ht="15" hidden="false" customHeight="false" outlineLevel="0" collapsed="false">
      <c r="A192" s="10" t="n">
        <v>40.620756149292</v>
      </c>
      <c r="B192" s="11" t="n">
        <v>200</v>
      </c>
      <c r="C192" s="12" t="n">
        <f aca="false">B192*'Correction factors'!$B$7</f>
        <v>967.8</v>
      </c>
      <c r="D192" s="13" t="n">
        <v>5.31168</v>
      </c>
      <c r="E192" s="14" t="n">
        <v>72</v>
      </c>
      <c r="F192" s="10" t="n">
        <f aca="false">E192/'Correction factors'!$B$10</f>
        <v>5.8068</v>
      </c>
      <c r="G192" s="11" t="n">
        <v>359</v>
      </c>
    </row>
    <row r="193" customFormat="false" ht="15" hidden="false" customHeight="false" outlineLevel="0" collapsed="false">
      <c r="A193" s="10" t="n">
        <v>41.0648138523102</v>
      </c>
      <c r="B193" s="11" t="n">
        <v>180</v>
      </c>
      <c r="C193" s="12" t="n">
        <f aca="false">B193*'Correction factors'!$B$7</f>
        <v>871.02</v>
      </c>
      <c r="D193" s="13" t="n">
        <v>5.301858</v>
      </c>
      <c r="E193" s="14" t="n">
        <v>80</v>
      </c>
      <c r="F193" s="10" t="n">
        <f aca="false">E193/'Correction factors'!$B$10</f>
        <v>6.452</v>
      </c>
      <c r="G193" s="11" t="n">
        <v>359</v>
      </c>
    </row>
    <row r="194" customFormat="false" ht="15" hidden="false" customHeight="false" outlineLevel="0" collapsed="false">
      <c r="A194" s="10" t="n">
        <v>41.0648138523102</v>
      </c>
      <c r="B194" s="11" t="n">
        <v>200</v>
      </c>
      <c r="C194" s="12" t="n">
        <f aca="false">B194*'Correction factors'!$B$7</f>
        <v>967.8</v>
      </c>
      <c r="D194" s="13" t="n">
        <v>5.301858</v>
      </c>
      <c r="E194" s="14" t="n">
        <v>72</v>
      </c>
      <c r="F194" s="10" t="n">
        <f aca="false">E194/'Correction factors'!$B$10</f>
        <v>5.8068</v>
      </c>
      <c r="G194" s="11" t="n">
        <v>360</v>
      </c>
    </row>
    <row r="195" customFormat="false" ht="15" hidden="false" customHeight="false" outlineLevel="0" collapsed="false">
      <c r="A195" s="10" t="n">
        <v>41.5133488178253</v>
      </c>
      <c r="B195" s="11" t="n">
        <v>200</v>
      </c>
      <c r="C195" s="12" t="n">
        <f aca="false">B195*'Correction factors'!$B$7</f>
        <v>967.8</v>
      </c>
      <c r="D195" s="13" t="n">
        <v>5.292037</v>
      </c>
      <c r="E195" s="14" t="n">
        <v>72</v>
      </c>
      <c r="F195" s="10" t="n">
        <f aca="false">E195/'Correction factors'!$B$10</f>
        <v>5.8068</v>
      </c>
      <c r="G195" s="11" t="n">
        <v>358</v>
      </c>
    </row>
    <row r="196" customFormat="false" ht="15" hidden="false" customHeight="false" outlineLevel="0" collapsed="false">
      <c r="A196" s="10" t="n">
        <v>41.5133488178253</v>
      </c>
      <c r="B196" s="11" t="n">
        <v>200</v>
      </c>
      <c r="C196" s="12" t="n">
        <f aca="false">B196*'Correction factors'!$B$7</f>
        <v>967.8</v>
      </c>
      <c r="D196" s="13" t="n">
        <v>5.301858</v>
      </c>
      <c r="E196" s="14" t="n">
        <v>72</v>
      </c>
      <c r="F196" s="10" t="n">
        <f aca="false">E196/'Correction factors'!$B$10</f>
        <v>5.8068</v>
      </c>
      <c r="G196" s="11" t="n">
        <v>358</v>
      </c>
    </row>
    <row r="197" customFormat="false" ht="15" hidden="false" customHeight="false" outlineLevel="0" collapsed="false">
      <c r="A197" s="10" t="n">
        <v>41.9663648605347</v>
      </c>
      <c r="B197" s="11" t="n">
        <v>200</v>
      </c>
      <c r="C197" s="12" t="n">
        <f aca="false">B197*'Correction factors'!$B$7</f>
        <v>967.8</v>
      </c>
      <c r="D197" s="13" t="n">
        <v>5.292037</v>
      </c>
      <c r="E197" s="14" t="n">
        <v>80</v>
      </c>
      <c r="F197" s="10" t="n">
        <f aca="false">E197/'Correction factors'!$B$10</f>
        <v>6.452</v>
      </c>
      <c r="G197" s="11" t="n">
        <v>358</v>
      </c>
    </row>
    <row r="198" customFormat="false" ht="15" hidden="false" customHeight="false" outlineLevel="0" collapsed="false">
      <c r="A198" s="10" t="n">
        <v>41.9663648605347</v>
      </c>
      <c r="B198" s="11" t="n">
        <v>200</v>
      </c>
      <c r="C198" s="12" t="n">
        <f aca="false">B198*'Correction factors'!$B$7</f>
        <v>967.8</v>
      </c>
      <c r="D198" s="13" t="n">
        <v>5.301858</v>
      </c>
      <c r="E198" s="14" t="n">
        <v>72</v>
      </c>
      <c r="F198" s="10" t="n">
        <f aca="false">E198/'Correction factors'!$B$10</f>
        <v>5.8068</v>
      </c>
      <c r="G198" s="11" t="n">
        <v>358</v>
      </c>
    </row>
    <row r="199" customFormat="false" ht="15" hidden="false" customHeight="false" outlineLevel="0" collapsed="false">
      <c r="A199" s="10" t="n">
        <v>42.450198173523</v>
      </c>
      <c r="B199" s="11" t="n">
        <v>200</v>
      </c>
      <c r="C199" s="12" t="n">
        <f aca="false">B199*'Correction factors'!$B$7</f>
        <v>967.8</v>
      </c>
      <c r="D199" s="13" t="n">
        <v>5.282216</v>
      </c>
      <c r="E199" s="14" t="n">
        <v>72</v>
      </c>
      <c r="F199" s="10" t="n">
        <f aca="false">E199/'Correction factors'!$B$10</f>
        <v>5.8068</v>
      </c>
      <c r="G199" s="11" t="n">
        <v>358</v>
      </c>
    </row>
    <row r="200" customFormat="false" ht="15" hidden="false" customHeight="false" outlineLevel="0" collapsed="false">
      <c r="A200" s="10" t="n">
        <v>42.450198173523</v>
      </c>
      <c r="B200" s="11" t="n">
        <v>200</v>
      </c>
      <c r="C200" s="12" t="n">
        <f aca="false">B200*'Correction factors'!$B$7</f>
        <v>967.8</v>
      </c>
      <c r="D200" s="13" t="n">
        <v>5.282216</v>
      </c>
      <c r="E200" s="14" t="n">
        <v>72</v>
      </c>
      <c r="F200" s="10" t="n">
        <f aca="false">E200/'Correction factors'!$B$10</f>
        <v>5.8068</v>
      </c>
      <c r="G200" s="11" t="n">
        <v>358</v>
      </c>
    </row>
    <row r="201" customFormat="false" ht="15" hidden="false" customHeight="false" outlineLevel="0" collapsed="false">
      <c r="A201" s="10" t="n">
        <v>42.450198173523</v>
      </c>
      <c r="B201" s="11" t="n">
        <v>200</v>
      </c>
      <c r="C201" s="12" t="n">
        <f aca="false">B201*'Correction factors'!$B$7</f>
        <v>967.8</v>
      </c>
      <c r="D201" s="13" t="n">
        <v>5.272394</v>
      </c>
      <c r="E201" s="14" t="n">
        <v>72</v>
      </c>
      <c r="F201" s="10" t="n">
        <f aca="false">E201/'Correction factors'!$B$10</f>
        <v>5.8068</v>
      </c>
      <c r="G201" s="11" t="n">
        <v>358</v>
      </c>
    </row>
    <row r="202" customFormat="false" ht="15" hidden="false" customHeight="false" outlineLevel="0" collapsed="false">
      <c r="A202" s="10" t="n">
        <v>42.9204940795898</v>
      </c>
      <c r="B202" s="11" t="n">
        <v>200</v>
      </c>
      <c r="C202" s="12" t="n">
        <f aca="false">B202*'Correction factors'!$B$7</f>
        <v>967.8</v>
      </c>
      <c r="D202" s="13" t="n">
        <v>5.272394</v>
      </c>
      <c r="E202" s="14" t="n">
        <v>80</v>
      </c>
      <c r="F202" s="10" t="n">
        <f aca="false">E202/'Correction factors'!$B$10</f>
        <v>6.452</v>
      </c>
      <c r="G202" s="11" t="n">
        <v>358</v>
      </c>
    </row>
    <row r="203" customFormat="false" ht="15" hidden="false" customHeight="false" outlineLevel="0" collapsed="false">
      <c r="A203" s="10" t="n">
        <v>42.9204940795898</v>
      </c>
      <c r="B203" s="11" t="n">
        <v>180</v>
      </c>
      <c r="C203" s="12" t="n">
        <f aca="false">B203*'Correction factors'!$B$7</f>
        <v>871.02</v>
      </c>
      <c r="D203" s="13" t="n">
        <v>5.272394</v>
      </c>
      <c r="E203" s="14" t="n">
        <v>72</v>
      </c>
      <c r="F203" s="10" t="n">
        <f aca="false">E203/'Correction factors'!$B$10</f>
        <v>5.8068</v>
      </c>
      <c r="G203" s="11" t="n">
        <v>358</v>
      </c>
    </row>
    <row r="204" customFormat="false" ht="15" hidden="false" customHeight="false" outlineLevel="0" collapsed="false">
      <c r="A204" s="10" t="n">
        <v>43.3734564781189</v>
      </c>
      <c r="B204" s="11" t="n">
        <v>200</v>
      </c>
      <c r="C204" s="12" t="n">
        <f aca="false">B204*'Correction factors'!$B$7</f>
        <v>967.8</v>
      </c>
      <c r="D204" s="13" t="n">
        <v>5.262572</v>
      </c>
      <c r="E204" s="14" t="n">
        <v>72</v>
      </c>
      <c r="F204" s="10" t="n">
        <f aca="false">E204/'Correction factors'!$B$10</f>
        <v>5.8068</v>
      </c>
      <c r="G204" s="11" t="n">
        <v>362</v>
      </c>
    </row>
    <row r="205" customFormat="false" ht="15" hidden="false" customHeight="false" outlineLevel="0" collapsed="false">
      <c r="A205" s="10" t="n">
        <v>43.3734564781189</v>
      </c>
      <c r="B205" s="11" t="n">
        <v>220</v>
      </c>
      <c r="C205" s="12" t="n">
        <f aca="false">B205*'Correction factors'!$B$7</f>
        <v>1064.58</v>
      </c>
      <c r="D205" s="13" t="n">
        <v>5.252751</v>
      </c>
      <c r="E205" s="14" t="n">
        <v>80</v>
      </c>
      <c r="F205" s="10" t="n">
        <f aca="false">E205/'Correction factors'!$B$10</f>
        <v>6.452</v>
      </c>
      <c r="G205" s="11" t="n">
        <v>362</v>
      </c>
    </row>
    <row r="206" customFormat="false" ht="15" hidden="false" customHeight="false" outlineLevel="0" collapsed="false">
      <c r="A206" s="10" t="n">
        <v>43.8176798820496</v>
      </c>
      <c r="B206" s="11" t="n">
        <v>220</v>
      </c>
      <c r="C206" s="12" t="n">
        <f aca="false">B206*'Correction factors'!$B$7</f>
        <v>1064.58</v>
      </c>
      <c r="D206" s="13" t="n">
        <v>5.252751</v>
      </c>
      <c r="E206" s="14" t="n">
        <v>80</v>
      </c>
      <c r="F206" s="10" t="n">
        <f aca="false">E206/'Correction factors'!$B$10</f>
        <v>6.452</v>
      </c>
      <c r="G206" s="11" t="n">
        <v>357</v>
      </c>
    </row>
    <row r="207" customFormat="false" ht="15" hidden="false" customHeight="false" outlineLevel="0" collapsed="false">
      <c r="A207" s="10" t="n">
        <v>43.8176798820496</v>
      </c>
      <c r="B207" s="11" t="n">
        <v>200</v>
      </c>
      <c r="C207" s="12" t="n">
        <f aca="false">B207*'Correction factors'!$B$7</f>
        <v>967.8</v>
      </c>
      <c r="D207" s="13" t="n">
        <v>5.252751</v>
      </c>
      <c r="E207" s="14" t="n">
        <v>72</v>
      </c>
      <c r="F207" s="10" t="n">
        <f aca="false">E207/'Correction factors'!$B$10</f>
        <v>5.8068</v>
      </c>
      <c r="G207" s="11" t="n">
        <v>357</v>
      </c>
    </row>
    <row r="208" customFormat="false" ht="15" hidden="false" customHeight="false" outlineLevel="0" collapsed="false">
      <c r="A208" s="10" t="n">
        <v>44.2670004367828</v>
      </c>
      <c r="B208" s="11" t="n">
        <v>180</v>
      </c>
      <c r="C208" s="12" t="n">
        <f aca="false">B208*'Correction factors'!$B$7</f>
        <v>871.02</v>
      </c>
      <c r="D208" s="13" t="n">
        <v>5.252751</v>
      </c>
      <c r="E208" s="14" t="n">
        <v>72</v>
      </c>
      <c r="F208" s="10" t="n">
        <f aca="false">E208/'Correction factors'!$B$10</f>
        <v>5.8068</v>
      </c>
      <c r="G208" s="11" t="n">
        <v>358</v>
      </c>
    </row>
    <row r="209" customFormat="false" ht="15" hidden="false" customHeight="false" outlineLevel="0" collapsed="false">
      <c r="A209" s="10" t="n">
        <v>44.2670004367828</v>
      </c>
      <c r="B209" s="11" t="n">
        <v>200</v>
      </c>
      <c r="C209" s="12" t="n">
        <f aca="false">B209*'Correction factors'!$B$7</f>
        <v>967.8</v>
      </c>
      <c r="D209" s="13" t="n">
        <v>5.242929</v>
      </c>
      <c r="E209" s="14" t="n">
        <v>80</v>
      </c>
      <c r="F209" s="10" t="n">
        <f aca="false">E209/'Correction factors'!$B$10</f>
        <v>6.452</v>
      </c>
      <c r="G209" s="11" t="n">
        <v>360</v>
      </c>
    </row>
    <row r="210" customFormat="false" ht="15" hidden="false" customHeight="false" outlineLevel="0" collapsed="false">
      <c r="A210" s="10" t="n">
        <v>44.2670004367828</v>
      </c>
      <c r="B210" s="11" t="n">
        <v>200</v>
      </c>
      <c r="C210" s="12" t="n">
        <f aca="false">B210*'Correction factors'!$B$7</f>
        <v>967.8</v>
      </c>
      <c r="D210" s="13" t="n">
        <v>5.242929</v>
      </c>
      <c r="E210" s="14" t="n">
        <v>72</v>
      </c>
      <c r="F210" s="10" t="n">
        <f aca="false">E210/'Correction factors'!$B$10</f>
        <v>5.8068</v>
      </c>
      <c r="G210" s="11" t="n">
        <v>360</v>
      </c>
    </row>
    <row r="211" customFormat="false" ht="15" hidden="false" customHeight="false" outlineLevel="0" collapsed="false">
      <c r="A211" s="10" t="n">
        <v>44.7623302936554</v>
      </c>
      <c r="B211" s="11" t="n">
        <v>200</v>
      </c>
      <c r="C211" s="12" t="n">
        <f aca="false">B211*'Correction factors'!$B$7</f>
        <v>967.8</v>
      </c>
      <c r="D211" s="13" t="n">
        <v>5.242929</v>
      </c>
      <c r="E211" s="14" t="n">
        <v>72</v>
      </c>
      <c r="F211" s="10" t="n">
        <f aca="false">E211/'Correction factors'!$B$10</f>
        <v>5.8068</v>
      </c>
      <c r="G211" s="11" t="n">
        <v>359</v>
      </c>
    </row>
    <row r="212" customFormat="false" ht="15" hidden="false" customHeight="false" outlineLevel="0" collapsed="false">
      <c r="A212" s="10" t="n">
        <v>44.7623302936554</v>
      </c>
      <c r="B212" s="11" t="n">
        <v>180</v>
      </c>
      <c r="C212" s="12" t="n">
        <f aca="false">B212*'Correction factors'!$B$7</f>
        <v>871.02</v>
      </c>
      <c r="D212" s="13" t="n">
        <v>5.233108</v>
      </c>
      <c r="E212" s="14" t="n">
        <v>72</v>
      </c>
      <c r="F212" s="10" t="n">
        <f aca="false">E212/'Correction factors'!$B$10</f>
        <v>5.8068</v>
      </c>
      <c r="G212" s="11" t="n">
        <v>359</v>
      </c>
    </row>
    <row r="213" customFormat="false" ht="15" hidden="false" customHeight="false" outlineLevel="0" collapsed="false">
      <c r="A213" s="10" t="n">
        <v>45.2120909690857</v>
      </c>
      <c r="B213" s="11" t="n">
        <v>180</v>
      </c>
      <c r="C213" s="12" t="n">
        <f aca="false">B213*'Correction factors'!$B$7</f>
        <v>871.02</v>
      </c>
      <c r="D213" s="13" t="n">
        <v>5.233108</v>
      </c>
      <c r="E213" s="14" t="n">
        <v>80</v>
      </c>
      <c r="F213" s="10" t="n">
        <f aca="false">E213/'Correction factors'!$B$10</f>
        <v>6.452</v>
      </c>
      <c r="G213" s="11" t="n">
        <v>362</v>
      </c>
    </row>
    <row r="214" customFormat="false" ht="15" hidden="false" customHeight="false" outlineLevel="0" collapsed="false">
      <c r="A214" s="10" t="n">
        <v>45.2120909690857</v>
      </c>
      <c r="B214" s="11" t="n">
        <v>220</v>
      </c>
      <c r="C214" s="12" t="n">
        <f aca="false">B214*'Correction factors'!$B$7</f>
        <v>1064.58</v>
      </c>
      <c r="D214" s="13" t="n">
        <v>5.233108</v>
      </c>
      <c r="E214" s="14" t="n">
        <v>72</v>
      </c>
      <c r="F214" s="10" t="n">
        <f aca="false">E214/'Correction factors'!$B$10</f>
        <v>5.8068</v>
      </c>
      <c r="G214" s="11" t="n">
        <v>362</v>
      </c>
    </row>
    <row r="215" customFormat="false" ht="15" hidden="false" customHeight="false" outlineLevel="0" collapsed="false">
      <c r="A215" s="10" t="n">
        <v>45.630425453186</v>
      </c>
      <c r="B215" s="11" t="n">
        <v>200</v>
      </c>
      <c r="C215" s="12" t="n">
        <f aca="false">B215*'Correction factors'!$B$7</f>
        <v>967.8</v>
      </c>
      <c r="D215" s="13" t="n">
        <v>5.213464</v>
      </c>
      <c r="E215" s="14" t="n">
        <v>80</v>
      </c>
      <c r="F215" s="10" t="n">
        <f aca="false">E215/'Correction factors'!$B$10</f>
        <v>6.452</v>
      </c>
      <c r="G215" s="11" t="n">
        <v>359</v>
      </c>
    </row>
    <row r="216" customFormat="false" ht="15" hidden="false" customHeight="false" outlineLevel="0" collapsed="false">
      <c r="A216" s="10" t="n">
        <v>45.630425453186</v>
      </c>
      <c r="B216" s="11" t="n">
        <v>200</v>
      </c>
      <c r="C216" s="12" t="n">
        <f aca="false">B216*'Correction factors'!$B$7</f>
        <v>967.8</v>
      </c>
      <c r="D216" s="13" t="n">
        <v>5.223286</v>
      </c>
      <c r="E216" s="14" t="n">
        <v>80</v>
      </c>
      <c r="F216" s="10" t="n">
        <f aca="false">E216/'Correction factors'!$B$10</f>
        <v>6.452</v>
      </c>
      <c r="G216" s="11" t="n">
        <v>359</v>
      </c>
    </row>
    <row r="217" customFormat="false" ht="15" hidden="false" customHeight="false" outlineLevel="0" collapsed="false">
      <c r="A217" s="10" t="n">
        <v>46.0494039058685</v>
      </c>
      <c r="B217" s="11" t="n">
        <v>200</v>
      </c>
      <c r="C217" s="12" t="n">
        <f aca="false">B217*'Correction factors'!$B$7</f>
        <v>967.8</v>
      </c>
      <c r="D217" s="13" t="n">
        <v>5.213464</v>
      </c>
      <c r="E217" s="14" t="n">
        <v>72</v>
      </c>
      <c r="F217" s="10" t="n">
        <f aca="false">E217/'Correction factors'!$B$10</f>
        <v>5.8068</v>
      </c>
      <c r="G217" s="11" t="n">
        <v>359</v>
      </c>
    </row>
    <row r="218" customFormat="false" ht="15" hidden="false" customHeight="false" outlineLevel="0" collapsed="false">
      <c r="A218" s="10" t="n">
        <v>46.0494039058685</v>
      </c>
      <c r="B218" s="11" t="n">
        <v>180</v>
      </c>
      <c r="C218" s="12" t="n">
        <f aca="false">B218*'Correction factors'!$B$7</f>
        <v>871.02</v>
      </c>
      <c r="D218" s="13" t="n">
        <v>5.213464</v>
      </c>
      <c r="E218" s="14" t="n">
        <v>72</v>
      </c>
      <c r="F218" s="10" t="n">
        <f aca="false">E218/'Correction factors'!$B$10</f>
        <v>5.8068</v>
      </c>
      <c r="G218" s="11" t="n">
        <v>359</v>
      </c>
    </row>
    <row r="219" customFormat="false" ht="15" hidden="false" customHeight="false" outlineLevel="0" collapsed="false">
      <c r="A219" s="10" t="n">
        <v>46.4667706489563</v>
      </c>
      <c r="B219" s="11" t="n">
        <v>180</v>
      </c>
      <c r="C219" s="12" t="n">
        <f aca="false">B219*'Correction factors'!$B$7</f>
        <v>871.02</v>
      </c>
      <c r="D219" s="13" t="n">
        <v>5.213464</v>
      </c>
      <c r="E219" s="14" t="n">
        <v>80</v>
      </c>
      <c r="F219" s="10" t="n">
        <f aca="false">E219/'Correction factors'!$B$10</f>
        <v>6.452</v>
      </c>
      <c r="G219" s="11" t="n">
        <v>363</v>
      </c>
    </row>
    <row r="220" customFormat="false" ht="15" hidden="false" customHeight="false" outlineLevel="0" collapsed="false">
      <c r="A220" s="10" t="n">
        <v>46.4667706489563</v>
      </c>
      <c r="B220" s="11" t="n">
        <v>200</v>
      </c>
      <c r="C220" s="12" t="n">
        <f aca="false">B220*'Correction factors'!$B$7</f>
        <v>967.8</v>
      </c>
      <c r="D220" s="13" t="n">
        <v>5.193821</v>
      </c>
      <c r="E220" s="14" t="n">
        <v>72</v>
      </c>
      <c r="F220" s="10" t="n">
        <f aca="false">E220/'Correction factors'!$B$10</f>
        <v>5.8068</v>
      </c>
      <c r="G220" s="11" t="n">
        <v>363</v>
      </c>
    </row>
    <row r="221" customFormat="false" ht="15" hidden="false" customHeight="false" outlineLevel="0" collapsed="false">
      <c r="A221" s="10" t="n">
        <v>46.9194302558899</v>
      </c>
      <c r="B221" s="11" t="n">
        <v>220</v>
      </c>
      <c r="C221" s="12" t="n">
        <f aca="false">B221*'Correction factors'!$B$7</f>
        <v>1064.58</v>
      </c>
      <c r="D221" s="13" t="n">
        <v>5.184</v>
      </c>
      <c r="E221" s="14" t="n">
        <v>80</v>
      </c>
      <c r="F221" s="10" t="n">
        <f aca="false">E221/'Correction factors'!$B$10</f>
        <v>6.452</v>
      </c>
      <c r="G221" s="11" t="n">
        <v>360</v>
      </c>
    </row>
    <row r="222" customFormat="false" ht="15" hidden="false" customHeight="false" outlineLevel="0" collapsed="false">
      <c r="A222" s="10" t="n">
        <v>46.9194302558899</v>
      </c>
      <c r="B222" s="11" t="n">
        <v>200</v>
      </c>
      <c r="C222" s="12" t="n">
        <f aca="false">B222*'Correction factors'!$B$7</f>
        <v>967.8</v>
      </c>
      <c r="D222" s="13" t="n">
        <v>5.184</v>
      </c>
      <c r="E222" s="14" t="n">
        <v>80</v>
      </c>
      <c r="F222" s="10" t="n">
        <f aca="false">E222/'Correction factors'!$B$10</f>
        <v>6.452</v>
      </c>
      <c r="G222" s="11" t="n">
        <v>360</v>
      </c>
    </row>
    <row r="223" customFormat="false" ht="15" hidden="false" customHeight="false" outlineLevel="0" collapsed="false">
      <c r="A223" s="10" t="n">
        <v>47.3501236438751</v>
      </c>
      <c r="B223" s="11" t="n">
        <v>180</v>
      </c>
      <c r="C223" s="12" t="n">
        <f aca="false">B223*'Correction factors'!$B$7</f>
        <v>871.02</v>
      </c>
      <c r="D223" s="13" t="n">
        <v>5.174178</v>
      </c>
      <c r="E223" s="14" t="n">
        <v>80</v>
      </c>
      <c r="F223" s="10" t="n">
        <f aca="false">E223/'Correction factors'!$B$10</f>
        <v>6.452</v>
      </c>
      <c r="G223" s="11" t="n">
        <v>360</v>
      </c>
    </row>
    <row r="224" customFormat="false" ht="15" hidden="false" customHeight="false" outlineLevel="0" collapsed="false">
      <c r="A224" s="10" t="n">
        <v>47.3501236438751</v>
      </c>
      <c r="B224" s="11" t="n">
        <v>180</v>
      </c>
      <c r="C224" s="12" t="n">
        <f aca="false">B224*'Correction factors'!$B$7</f>
        <v>871.02</v>
      </c>
      <c r="D224" s="13" t="n">
        <v>5.174178</v>
      </c>
      <c r="E224" s="14" t="n">
        <v>88</v>
      </c>
      <c r="F224" s="10" t="n">
        <f aca="false">E224/'Correction factors'!$B$10</f>
        <v>7.0972</v>
      </c>
      <c r="G224" s="11" t="n">
        <v>362</v>
      </c>
    </row>
    <row r="225" customFormat="false" ht="15" hidden="false" customHeight="false" outlineLevel="0" collapsed="false">
      <c r="A225" s="10" t="n">
        <v>47.3501236438751</v>
      </c>
      <c r="B225" s="11" t="n">
        <v>200</v>
      </c>
      <c r="C225" s="12" t="n">
        <f aca="false">B225*'Correction factors'!$B$7</f>
        <v>967.8</v>
      </c>
      <c r="D225" s="13" t="n">
        <v>5.164356</v>
      </c>
      <c r="E225" s="14" t="n">
        <v>80</v>
      </c>
      <c r="F225" s="10" t="n">
        <f aca="false">E225/'Correction factors'!$B$10</f>
        <v>6.452</v>
      </c>
      <c r="G225" s="11" t="n">
        <v>364</v>
      </c>
    </row>
    <row r="226" customFormat="false" ht="15" hidden="false" customHeight="false" outlineLevel="0" collapsed="false">
      <c r="A226" s="10" t="n">
        <v>47.8197150230408</v>
      </c>
      <c r="B226" s="11" t="n">
        <v>200</v>
      </c>
      <c r="C226" s="12" t="n">
        <f aca="false">B226*'Correction factors'!$B$7</f>
        <v>967.8</v>
      </c>
      <c r="D226" s="13" t="n">
        <v>5.154535</v>
      </c>
      <c r="E226" s="14" t="n">
        <v>80</v>
      </c>
      <c r="F226" s="10" t="n">
        <f aca="false">E226/'Correction factors'!$B$10</f>
        <v>6.452</v>
      </c>
      <c r="G226" s="11" t="n">
        <v>362</v>
      </c>
    </row>
    <row r="227" customFormat="false" ht="15" hidden="false" customHeight="false" outlineLevel="0" collapsed="false">
      <c r="A227" s="10" t="n">
        <v>47.8197150230408</v>
      </c>
      <c r="B227" s="11" t="n">
        <v>200</v>
      </c>
      <c r="C227" s="12" t="n">
        <f aca="false">B227*'Correction factors'!$B$7</f>
        <v>967.8</v>
      </c>
      <c r="D227" s="13" t="n">
        <v>5.134892</v>
      </c>
      <c r="E227" s="14" t="n">
        <v>80</v>
      </c>
      <c r="F227" s="10" t="n">
        <f aca="false">E227/'Correction factors'!$B$10</f>
        <v>6.452</v>
      </c>
      <c r="G227" s="11" t="n">
        <v>362</v>
      </c>
    </row>
    <row r="228" customFormat="false" ht="15" hidden="false" customHeight="false" outlineLevel="0" collapsed="false">
      <c r="A228" s="10" t="n">
        <v>48.2377161979675</v>
      </c>
      <c r="B228" s="11" t="n">
        <v>200</v>
      </c>
      <c r="C228" s="12" t="n">
        <f aca="false">B228*'Correction factors'!$B$7</f>
        <v>967.8</v>
      </c>
      <c r="D228" s="13" t="n">
        <v>5.134892</v>
      </c>
      <c r="E228" s="14" t="n">
        <v>80</v>
      </c>
      <c r="F228" s="10" t="n">
        <f aca="false">E228/'Correction factors'!$B$10</f>
        <v>6.452</v>
      </c>
      <c r="G228" s="11" t="n">
        <v>362</v>
      </c>
    </row>
    <row r="229" customFormat="false" ht="15" hidden="false" customHeight="false" outlineLevel="0" collapsed="false">
      <c r="A229" s="10" t="n">
        <v>48.2377161979675</v>
      </c>
      <c r="B229" s="11" t="n">
        <v>200</v>
      </c>
      <c r="C229" s="12" t="n">
        <f aca="false">B229*'Correction factors'!$B$7</f>
        <v>967.8</v>
      </c>
      <c r="D229" s="13" t="n">
        <v>5.12507</v>
      </c>
      <c r="E229" s="14" t="n">
        <v>88</v>
      </c>
      <c r="F229" s="10" t="n">
        <f aca="false">E229/'Correction factors'!$B$10</f>
        <v>7.0972</v>
      </c>
      <c r="G229" s="11" t="n">
        <v>362</v>
      </c>
    </row>
    <row r="230" customFormat="false" ht="15" hidden="false" customHeight="false" outlineLevel="0" collapsed="false">
      <c r="A230" s="10" t="n">
        <v>48.6587083339691</v>
      </c>
      <c r="B230" s="11" t="n">
        <v>200</v>
      </c>
      <c r="C230" s="12" t="n">
        <f aca="false">B230*'Correction factors'!$B$7</f>
        <v>967.8</v>
      </c>
      <c r="D230" s="13" t="n">
        <v>5.105427</v>
      </c>
      <c r="E230" s="14" t="n">
        <v>80</v>
      </c>
      <c r="F230" s="10" t="n">
        <f aca="false">E230/'Correction factors'!$B$10</f>
        <v>6.452</v>
      </c>
      <c r="G230" s="11" t="n">
        <v>362</v>
      </c>
    </row>
    <row r="231" customFormat="false" ht="15" hidden="false" customHeight="false" outlineLevel="0" collapsed="false">
      <c r="A231" s="10" t="n">
        <v>48.6587083339691</v>
      </c>
      <c r="B231" s="11" t="n">
        <v>220</v>
      </c>
      <c r="C231" s="12" t="n">
        <f aca="false">B231*'Correction factors'!$B$7</f>
        <v>1064.58</v>
      </c>
      <c r="D231" s="13" t="n">
        <v>5.115248</v>
      </c>
      <c r="E231" s="14" t="n">
        <v>80</v>
      </c>
      <c r="F231" s="10" t="n">
        <f aca="false">E231/'Correction factors'!$B$10</f>
        <v>6.452</v>
      </c>
      <c r="G231" s="11" t="n">
        <v>362</v>
      </c>
    </row>
    <row r="232" customFormat="false" ht="15" hidden="false" customHeight="false" outlineLevel="0" collapsed="false">
      <c r="A232" s="10" t="n">
        <v>49.0731642246246</v>
      </c>
      <c r="B232" s="11" t="n">
        <v>220</v>
      </c>
      <c r="C232" s="12" t="n">
        <f aca="false">B232*'Correction factors'!$B$7</f>
        <v>1064.58</v>
      </c>
      <c r="D232" s="13" t="n">
        <v>5.095605</v>
      </c>
      <c r="E232" s="14" t="n">
        <v>88</v>
      </c>
      <c r="F232" s="10" t="n">
        <f aca="false">E232/'Correction factors'!$B$10</f>
        <v>7.0972</v>
      </c>
      <c r="G232" s="11" t="n">
        <v>360</v>
      </c>
    </row>
    <row r="233" customFormat="false" ht="15" hidden="false" customHeight="false" outlineLevel="0" collapsed="false">
      <c r="A233" s="10" t="n">
        <v>49.0731642246246</v>
      </c>
      <c r="B233" s="11" t="n">
        <v>220</v>
      </c>
      <c r="C233" s="12" t="n">
        <f aca="false">B233*'Correction factors'!$B$7</f>
        <v>1064.58</v>
      </c>
      <c r="D233" s="13" t="n">
        <v>5.095605</v>
      </c>
      <c r="E233" s="14" t="n">
        <v>80</v>
      </c>
      <c r="F233" s="10" t="n">
        <f aca="false">E233/'Correction factors'!$B$10</f>
        <v>6.452</v>
      </c>
      <c r="G233" s="11" t="n">
        <v>360</v>
      </c>
    </row>
    <row r="234" customFormat="false" ht="15" hidden="false" customHeight="false" outlineLevel="0" collapsed="false">
      <c r="A234" s="10" t="n">
        <v>49.4844028949738</v>
      </c>
      <c r="B234" s="11" t="n">
        <v>200</v>
      </c>
      <c r="C234" s="12" t="n">
        <f aca="false">B234*'Correction factors'!$B$7</f>
        <v>967.8</v>
      </c>
      <c r="D234" s="13" t="n">
        <v>5.095605</v>
      </c>
      <c r="E234" s="14" t="n">
        <v>80</v>
      </c>
      <c r="F234" s="10" t="n">
        <f aca="false">E234/'Correction factors'!$B$10</f>
        <v>6.452</v>
      </c>
      <c r="G234" s="11" t="n">
        <v>360</v>
      </c>
    </row>
    <row r="235" customFormat="false" ht="15" hidden="false" customHeight="false" outlineLevel="0" collapsed="false">
      <c r="A235" s="10" t="n">
        <v>49.4844028949738</v>
      </c>
      <c r="B235" s="11" t="n">
        <v>200</v>
      </c>
      <c r="C235" s="12" t="n">
        <f aca="false">B235*'Correction factors'!$B$7</f>
        <v>967.8</v>
      </c>
      <c r="D235" s="13" t="n">
        <v>5.085783</v>
      </c>
      <c r="E235" s="14" t="n">
        <v>72</v>
      </c>
      <c r="F235" s="10" t="n">
        <f aca="false">E235/'Correction factors'!$B$10</f>
        <v>5.8068</v>
      </c>
      <c r="G235" s="11" t="n">
        <v>360</v>
      </c>
    </row>
    <row r="236" customFormat="false" ht="15" hidden="false" customHeight="false" outlineLevel="0" collapsed="false">
      <c r="A236" s="10" t="n">
        <v>49.9047021865845</v>
      </c>
      <c r="B236" s="11" t="n">
        <v>200</v>
      </c>
      <c r="C236" s="12" t="n">
        <f aca="false">B236*'Correction factors'!$B$7</f>
        <v>967.8</v>
      </c>
      <c r="D236" s="13" t="n">
        <v>5.085783</v>
      </c>
      <c r="E236" s="14" t="n">
        <v>80</v>
      </c>
      <c r="F236" s="10" t="n">
        <f aca="false">E236/'Correction factors'!$B$10</f>
        <v>6.452</v>
      </c>
      <c r="G236" s="11" t="n">
        <v>360</v>
      </c>
    </row>
    <row r="237" customFormat="false" ht="15" hidden="false" customHeight="false" outlineLevel="0" collapsed="false">
      <c r="A237" s="10" t="n">
        <v>49.9047021865845</v>
      </c>
      <c r="B237" s="11" t="n">
        <v>200</v>
      </c>
      <c r="C237" s="12" t="n">
        <f aca="false">B237*'Correction factors'!$B$7</f>
        <v>967.8</v>
      </c>
      <c r="D237" s="13" t="n">
        <v>5.085783</v>
      </c>
      <c r="E237" s="14" t="n">
        <v>80</v>
      </c>
      <c r="F237" s="10" t="n">
        <f aca="false">E237/'Correction factors'!$B$10</f>
        <v>6.452</v>
      </c>
      <c r="G237" s="11" t="n">
        <v>360</v>
      </c>
    </row>
    <row r="238" customFormat="false" ht="15" hidden="false" customHeight="false" outlineLevel="0" collapsed="false">
      <c r="A238" s="10" t="n">
        <v>50.317907333374</v>
      </c>
      <c r="B238" s="11" t="n">
        <v>200</v>
      </c>
      <c r="C238" s="12" t="n">
        <f aca="false">B238*'Correction factors'!$B$7</f>
        <v>967.8</v>
      </c>
      <c r="D238" s="13" t="n">
        <v>5.075962</v>
      </c>
      <c r="E238" s="14" t="n">
        <v>80</v>
      </c>
      <c r="F238" s="10" t="n">
        <f aca="false">E238/'Correction factors'!$B$10</f>
        <v>6.452</v>
      </c>
      <c r="G238" s="11" t="n">
        <v>360</v>
      </c>
    </row>
    <row r="239" customFormat="false" ht="15" hidden="false" customHeight="false" outlineLevel="0" collapsed="false">
      <c r="A239" s="10" t="n">
        <v>50.317907333374</v>
      </c>
      <c r="B239" s="11" t="n">
        <v>200</v>
      </c>
      <c r="C239" s="12" t="n">
        <f aca="false">B239*'Correction factors'!$B$7</f>
        <v>967.8</v>
      </c>
      <c r="D239" s="13" t="n">
        <v>5.075962</v>
      </c>
      <c r="E239" s="14" t="n">
        <v>72</v>
      </c>
      <c r="F239" s="10" t="n">
        <f aca="false">E239/'Correction factors'!$B$10</f>
        <v>5.8068</v>
      </c>
      <c r="G239" s="11" t="n">
        <v>360</v>
      </c>
    </row>
    <row r="240" customFormat="false" ht="15" hidden="false" customHeight="false" outlineLevel="0" collapsed="false">
      <c r="A240" s="10" t="n">
        <v>50.7443399429321</v>
      </c>
      <c r="B240" s="11" t="n">
        <v>200</v>
      </c>
      <c r="C240" s="12" t="n">
        <f aca="false">B240*'Correction factors'!$B$7</f>
        <v>967.8</v>
      </c>
      <c r="D240" s="13" t="n">
        <v>5.075962</v>
      </c>
      <c r="E240" s="14" t="n">
        <v>80</v>
      </c>
      <c r="F240" s="10" t="n">
        <f aca="false">E240/'Correction factors'!$B$10</f>
        <v>6.452</v>
      </c>
      <c r="G240" s="11" t="n">
        <v>360</v>
      </c>
    </row>
    <row r="241" customFormat="false" ht="15" hidden="false" customHeight="false" outlineLevel="0" collapsed="false">
      <c r="A241" s="10" t="n">
        <v>50.7443399429321</v>
      </c>
      <c r="B241" s="11" t="n">
        <v>200</v>
      </c>
      <c r="C241" s="12" t="n">
        <f aca="false">B241*'Correction factors'!$B$7</f>
        <v>967.8</v>
      </c>
      <c r="D241" s="13" t="n">
        <v>5.075962</v>
      </c>
      <c r="E241" s="14" t="n">
        <v>80</v>
      </c>
      <c r="F241" s="10" t="n">
        <f aca="false">E241/'Correction factors'!$B$10</f>
        <v>6.452</v>
      </c>
      <c r="G241" s="11" t="n">
        <v>360</v>
      </c>
    </row>
    <row r="242" customFormat="false" ht="15" hidden="false" customHeight="false" outlineLevel="0" collapsed="false">
      <c r="A242" s="10" t="n">
        <v>51.1811714172363</v>
      </c>
      <c r="B242" s="11" t="n">
        <v>200</v>
      </c>
      <c r="C242" s="12" t="n">
        <f aca="false">B242*'Correction factors'!$B$7</f>
        <v>967.8</v>
      </c>
      <c r="D242" s="13" t="n">
        <v>5.075962</v>
      </c>
      <c r="E242" s="14" t="n">
        <v>80</v>
      </c>
      <c r="F242" s="10" t="n">
        <f aca="false">E242/'Correction factors'!$B$10</f>
        <v>6.452</v>
      </c>
      <c r="G242" s="11" t="n">
        <v>360</v>
      </c>
    </row>
    <row r="243" customFormat="false" ht="15" hidden="false" customHeight="false" outlineLevel="0" collapsed="false">
      <c r="A243" s="10" t="n">
        <v>51.1811714172363</v>
      </c>
      <c r="B243" s="11" t="n">
        <v>200</v>
      </c>
      <c r="C243" s="12" t="n">
        <f aca="false">B243*'Correction factors'!$B$7</f>
        <v>967.8</v>
      </c>
      <c r="D243" s="13" t="n">
        <v>5.06614</v>
      </c>
      <c r="E243" s="14" t="n">
        <v>72</v>
      </c>
      <c r="F243" s="10" t="n">
        <f aca="false">E243/'Correction factors'!$B$10</f>
        <v>5.8068</v>
      </c>
      <c r="G243" s="11" t="n">
        <v>360</v>
      </c>
    </row>
    <row r="244" customFormat="false" ht="15" hidden="false" customHeight="false" outlineLevel="0" collapsed="false">
      <c r="A244" s="10" t="n">
        <v>51.6440191268921</v>
      </c>
      <c r="B244" s="11" t="n">
        <v>180</v>
      </c>
      <c r="C244" s="12" t="n">
        <f aca="false">B244*'Correction factors'!$B$7</f>
        <v>871.02</v>
      </c>
      <c r="D244" s="13" t="n">
        <v>5.056319</v>
      </c>
      <c r="E244" s="14" t="n">
        <v>80</v>
      </c>
      <c r="F244" s="10" t="n">
        <f aca="false">E244/'Correction factors'!$B$10</f>
        <v>6.452</v>
      </c>
      <c r="G244" s="11" t="n">
        <v>360</v>
      </c>
    </row>
    <row r="245" customFormat="false" ht="15" hidden="false" customHeight="false" outlineLevel="0" collapsed="false">
      <c r="A245" s="10" t="n">
        <v>51.6440191268921</v>
      </c>
      <c r="B245" s="11" t="n">
        <v>200</v>
      </c>
      <c r="C245" s="12" t="n">
        <f aca="false">B245*'Correction factors'!$B$7</f>
        <v>967.8</v>
      </c>
      <c r="D245" s="13" t="n">
        <v>5.056319</v>
      </c>
      <c r="E245" s="14" t="n">
        <v>72</v>
      </c>
      <c r="F245" s="10" t="n">
        <f aca="false">E245/'Correction factors'!$B$10</f>
        <v>5.8068</v>
      </c>
      <c r="G245" s="11" t="n">
        <v>362</v>
      </c>
    </row>
    <row r="246" customFormat="false" ht="15" hidden="false" customHeight="false" outlineLevel="0" collapsed="false">
      <c r="A246" s="10" t="n">
        <v>52.0717129707336</v>
      </c>
      <c r="B246" s="11" t="n">
        <v>200</v>
      </c>
      <c r="C246" s="12" t="n">
        <f aca="false">B246*'Correction factors'!$B$7</f>
        <v>967.8</v>
      </c>
      <c r="D246" s="13" t="n">
        <v>5.06614</v>
      </c>
      <c r="E246" s="14" t="n">
        <v>80</v>
      </c>
      <c r="F246" s="10" t="n">
        <f aca="false">E246/'Correction factors'!$B$10</f>
        <v>6.452</v>
      </c>
      <c r="G246" s="11" t="n">
        <v>360</v>
      </c>
    </row>
    <row r="247" customFormat="false" ht="15" hidden="false" customHeight="false" outlineLevel="0" collapsed="false">
      <c r="A247" s="10" t="n">
        <v>52.0717129707336</v>
      </c>
      <c r="B247" s="11" t="n">
        <v>200</v>
      </c>
      <c r="C247" s="12" t="n">
        <f aca="false">B247*'Correction factors'!$B$7</f>
        <v>967.8</v>
      </c>
      <c r="D247" s="13" t="n">
        <v>5.056319</v>
      </c>
      <c r="E247" s="14" t="n">
        <v>80</v>
      </c>
      <c r="F247" s="10" t="n">
        <f aca="false">E247/'Correction factors'!$B$10</f>
        <v>6.452</v>
      </c>
      <c r="G247" s="11" t="n">
        <v>360</v>
      </c>
    </row>
    <row r="248" customFormat="false" ht="15" hidden="false" customHeight="false" outlineLevel="0" collapsed="false">
      <c r="A248" s="10" t="n">
        <v>52.5025537014008</v>
      </c>
      <c r="B248" s="11" t="n">
        <v>200</v>
      </c>
      <c r="C248" s="12" t="n">
        <f aca="false">B248*'Correction factors'!$B$7</f>
        <v>967.8</v>
      </c>
      <c r="D248" s="13" t="n">
        <v>5.056319</v>
      </c>
      <c r="E248" s="14" t="n">
        <v>80</v>
      </c>
      <c r="F248" s="10" t="n">
        <f aca="false">E248/'Correction factors'!$B$10</f>
        <v>6.452</v>
      </c>
      <c r="G248" s="11" t="n">
        <v>360</v>
      </c>
    </row>
    <row r="249" customFormat="false" ht="15" hidden="false" customHeight="false" outlineLevel="0" collapsed="false">
      <c r="A249" s="10" t="n">
        <v>52.5025537014008</v>
      </c>
      <c r="B249" s="11" t="n">
        <v>200</v>
      </c>
      <c r="C249" s="12" t="n">
        <f aca="false">B249*'Correction factors'!$B$7</f>
        <v>967.8</v>
      </c>
      <c r="D249" s="13" t="n">
        <v>5.046497</v>
      </c>
      <c r="E249" s="14" t="n">
        <v>72</v>
      </c>
      <c r="F249" s="10" t="n">
        <f aca="false">E249/'Correction factors'!$B$10</f>
        <v>5.8068</v>
      </c>
      <c r="G249" s="11" t="n">
        <v>360</v>
      </c>
    </row>
    <row r="250" customFormat="false" ht="15" hidden="false" customHeight="false" outlineLevel="0" collapsed="false">
      <c r="A250" s="10" t="n">
        <v>52.9362888336182</v>
      </c>
      <c r="B250" s="11" t="n">
        <v>200</v>
      </c>
      <c r="C250" s="12" t="n">
        <f aca="false">B250*'Correction factors'!$B$7</f>
        <v>967.8</v>
      </c>
      <c r="D250" s="13" t="n">
        <v>5.046497</v>
      </c>
      <c r="E250" s="14" t="n">
        <v>80</v>
      </c>
      <c r="F250" s="10" t="n">
        <f aca="false">E250/'Correction factors'!$B$10</f>
        <v>6.452</v>
      </c>
      <c r="G250" s="11" t="n">
        <v>360</v>
      </c>
    </row>
    <row r="251" customFormat="false" ht="15" hidden="false" customHeight="false" outlineLevel="0" collapsed="false">
      <c r="A251" s="10" t="n">
        <v>52.9362888336182</v>
      </c>
      <c r="B251" s="11" t="n">
        <v>200</v>
      </c>
      <c r="C251" s="12" t="n">
        <f aca="false">B251*'Correction factors'!$B$7</f>
        <v>967.8</v>
      </c>
      <c r="D251" s="13" t="n">
        <v>5.036675</v>
      </c>
      <c r="E251" s="14" t="n">
        <v>80</v>
      </c>
      <c r="F251" s="10" t="n">
        <f aca="false">E251/'Correction factors'!$B$10</f>
        <v>6.452</v>
      </c>
      <c r="G251" s="11" t="n">
        <v>360</v>
      </c>
    </row>
    <row r="252" customFormat="false" ht="15" hidden="false" customHeight="false" outlineLevel="0" collapsed="false">
      <c r="A252" s="10" t="n">
        <v>52.9362888336182</v>
      </c>
      <c r="B252" s="11" t="n">
        <v>200</v>
      </c>
      <c r="C252" s="12" t="n">
        <f aca="false">B252*'Correction factors'!$B$7</f>
        <v>967.8</v>
      </c>
      <c r="D252" s="13" t="n">
        <v>5.036675</v>
      </c>
      <c r="E252" s="14" t="n">
        <v>72</v>
      </c>
      <c r="F252" s="10" t="n">
        <f aca="false">E252/'Correction factors'!$B$10</f>
        <v>5.8068</v>
      </c>
      <c r="G252" s="11" t="n">
        <v>360</v>
      </c>
    </row>
    <row r="253" customFormat="false" ht="15" hidden="false" customHeight="false" outlineLevel="0" collapsed="false">
      <c r="A253" s="10" t="n">
        <v>53.4338972568512</v>
      </c>
      <c r="B253" s="11" t="n">
        <v>200</v>
      </c>
      <c r="C253" s="12" t="n">
        <f aca="false">B253*'Correction factors'!$B$7</f>
        <v>967.8</v>
      </c>
      <c r="D253" s="13" t="n">
        <v>5.026854</v>
      </c>
      <c r="E253" s="14" t="n">
        <v>80</v>
      </c>
      <c r="F253" s="10" t="n">
        <f aca="false">E253/'Correction factors'!$B$10</f>
        <v>6.452</v>
      </c>
      <c r="G253" s="11" t="n">
        <v>360</v>
      </c>
    </row>
    <row r="254" customFormat="false" ht="15" hidden="false" customHeight="false" outlineLevel="0" collapsed="false">
      <c r="A254" s="10" t="n">
        <v>53.4338972568512</v>
      </c>
      <c r="B254" s="11" t="n">
        <v>200</v>
      </c>
      <c r="C254" s="12" t="n">
        <f aca="false">B254*'Correction factors'!$B$7</f>
        <v>967.8</v>
      </c>
      <c r="D254" s="13" t="n">
        <v>5.036675</v>
      </c>
      <c r="E254" s="14" t="n">
        <v>80</v>
      </c>
      <c r="F254" s="10" t="n">
        <f aca="false">E254/'Correction factors'!$B$10</f>
        <v>6.452</v>
      </c>
      <c r="G254" s="11" t="n">
        <v>360</v>
      </c>
    </row>
    <row r="255" customFormat="false" ht="15" hidden="false" customHeight="false" outlineLevel="0" collapsed="false">
      <c r="A255" s="10" t="n">
        <v>53.8736090660095</v>
      </c>
      <c r="B255" s="11" t="n">
        <v>200</v>
      </c>
      <c r="C255" s="12" t="n">
        <f aca="false">B255*'Correction factors'!$B$7</f>
        <v>967.8</v>
      </c>
      <c r="D255" s="13" t="n">
        <v>5.026854</v>
      </c>
      <c r="E255" s="14" t="n">
        <v>72</v>
      </c>
      <c r="F255" s="10" t="n">
        <f aca="false">E255/'Correction factors'!$B$10</f>
        <v>5.8068</v>
      </c>
      <c r="G255" s="11" t="n">
        <v>360</v>
      </c>
    </row>
    <row r="256" customFormat="false" ht="15" hidden="false" customHeight="false" outlineLevel="0" collapsed="false">
      <c r="A256" s="10" t="n">
        <v>53.8736090660095</v>
      </c>
      <c r="B256" s="11" t="n">
        <v>200</v>
      </c>
      <c r="C256" s="12" t="n">
        <f aca="false">B256*'Correction factors'!$B$7</f>
        <v>967.8</v>
      </c>
      <c r="D256" s="13" t="n">
        <v>5.026854</v>
      </c>
      <c r="E256" s="14" t="n">
        <v>80</v>
      </c>
      <c r="F256" s="10" t="n">
        <f aca="false">E256/'Correction factors'!$B$10</f>
        <v>6.452</v>
      </c>
      <c r="G256" s="11" t="n">
        <v>360</v>
      </c>
    </row>
    <row r="257" customFormat="false" ht="15" hidden="false" customHeight="false" outlineLevel="0" collapsed="false">
      <c r="A257" s="10" t="n">
        <v>54.2956576347351</v>
      </c>
      <c r="B257" s="11" t="n">
        <v>200</v>
      </c>
      <c r="C257" s="12" t="n">
        <f aca="false">B257*'Correction factors'!$B$7</f>
        <v>967.8</v>
      </c>
      <c r="D257" s="13" t="n">
        <v>5.017033</v>
      </c>
      <c r="E257" s="14" t="n">
        <v>72</v>
      </c>
      <c r="F257" s="10" t="n">
        <f aca="false">E257/'Correction factors'!$B$10</f>
        <v>5.8068</v>
      </c>
      <c r="G257" s="11" t="n">
        <v>360</v>
      </c>
    </row>
    <row r="258" customFormat="false" ht="15" hidden="false" customHeight="false" outlineLevel="0" collapsed="false">
      <c r="A258" s="10" t="n">
        <v>54.2956576347351</v>
      </c>
      <c r="B258" s="11" t="n">
        <v>180</v>
      </c>
      <c r="C258" s="12" t="n">
        <f aca="false">B258*'Correction factors'!$B$7</f>
        <v>871.02</v>
      </c>
      <c r="D258" s="13" t="n">
        <v>5.017033</v>
      </c>
      <c r="E258" s="14" t="n">
        <v>80</v>
      </c>
      <c r="F258" s="10" t="n">
        <f aca="false">E258/'Correction factors'!$B$10</f>
        <v>6.452</v>
      </c>
      <c r="G258" s="11" t="n">
        <v>360</v>
      </c>
    </row>
    <row r="259" customFormat="false" ht="15" hidden="false" customHeight="false" outlineLevel="0" collapsed="false">
      <c r="A259" s="10" t="n">
        <v>54.7307097911835</v>
      </c>
      <c r="B259" s="11" t="n">
        <v>180</v>
      </c>
      <c r="C259" s="12" t="n">
        <f aca="false">B259*'Correction factors'!$B$7</f>
        <v>871.02</v>
      </c>
      <c r="D259" s="13" t="n">
        <v>5.017033</v>
      </c>
      <c r="E259" s="14" t="n">
        <v>80</v>
      </c>
      <c r="F259" s="10" t="n">
        <f aca="false">E259/'Correction factors'!$B$10</f>
        <v>6.452</v>
      </c>
      <c r="G259" s="11" t="n">
        <v>363</v>
      </c>
    </row>
    <row r="260" customFormat="false" ht="15" hidden="false" customHeight="false" outlineLevel="0" collapsed="false">
      <c r="A260" s="10" t="n">
        <v>54.7307097911835</v>
      </c>
      <c r="B260" s="11" t="n">
        <v>200</v>
      </c>
      <c r="C260" s="12" t="n">
        <f aca="false">B260*'Correction factors'!$B$7</f>
        <v>967.8</v>
      </c>
      <c r="D260" s="13" t="n">
        <v>5.007211</v>
      </c>
      <c r="E260" s="14" t="n">
        <v>72</v>
      </c>
      <c r="F260" s="10" t="n">
        <f aca="false">E260/'Correction factors'!$B$10</f>
        <v>5.8068</v>
      </c>
      <c r="G260" s="11" t="n">
        <v>363</v>
      </c>
    </row>
    <row r="261" customFormat="false" ht="15" hidden="false" customHeight="false" outlineLevel="0" collapsed="false">
      <c r="A261" s="10" t="n">
        <v>55.1653301715851</v>
      </c>
      <c r="B261" s="11" t="n">
        <v>200</v>
      </c>
      <c r="C261" s="12" t="n">
        <f aca="false">B261*'Correction factors'!$B$7</f>
        <v>967.8</v>
      </c>
      <c r="D261" s="13" t="n">
        <v>4.997389</v>
      </c>
      <c r="E261" s="14" t="n">
        <v>80</v>
      </c>
      <c r="F261" s="10" t="n">
        <f aca="false">E261/'Correction factors'!$B$10</f>
        <v>6.452</v>
      </c>
      <c r="G261" s="11" t="n">
        <v>362</v>
      </c>
    </row>
    <row r="262" customFormat="false" ht="15" hidden="false" customHeight="false" outlineLevel="0" collapsed="false">
      <c r="A262" s="10" t="n">
        <v>55.1653301715851</v>
      </c>
      <c r="B262" s="11" t="n">
        <v>200</v>
      </c>
      <c r="C262" s="12" t="n">
        <f aca="false">B262*'Correction factors'!$B$7</f>
        <v>967.8</v>
      </c>
      <c r="D262" s="13" t="n">
        <v>4.997389</v>
      </c>
      <c r="E262" s="14" t="n">
        <v>80</v>
      </c>
      <c r="F262" s="10" t="n">
        <f aca="false">E262/'Correction factors'!$B$10</f>
        <v>6.452</v>
      </c>
      <c r="G262" s="11" t="n">
        <v>362</v>
      </c>
    </row>
    <row r="263" customFormat="false" ht="15" hidden="false" customHeight="false" outlineLevel="0" collapsed="false">
      <c r="A263" s="10" t="n">
        <v>55.5929152965546</v>
      </c>
      <c r="B263" s="11" t="n">
        <v>200</v>
      </c>
      <c r="C263" s="12" t="n">
        <f aca="false">B263*'Correction factors'!$B$7</f>
        <v>967.8</v>
      </c>
      <c r="D263" s="13" t="n">
        <v>4.987567</v>
      </c>
      <c r="E263" s="14" t="n">
        <v>80</v>
      </c>
      <c r="F263" s="10" t="n">
        <f aca="false">E263/'Correction factors'!$B$10</f>
        <v>6.452</v>
      </c>
      <c r="G263" s="11" t="n">
        <v>362</v>
      </c>
    </row>
    <row r="264" customFormat="false" ht="15" hidden="false" customHeight="false" outlineLevel="0" collapsed="false">
      <c r="A264" s="10" t="n">
        <v>55.5929152965546</v>
      </c>
      <c r="B264" s="11" t="n">
        <v>200</v>
      </c>
      <c r="C264" s="12" t="n">
        <f aca="false">B264*'Correction factors'!$B$7</f>
        <v>967.8</v>
      </c>
      <c r="D264" s="13" t="n">
        <v>4.977746</v>
      </c>
      <c r="E264" s="14" t="n">
        <v>80</v>
      </c>
      <c r="F264" s="10" t="n">
        <f aca="false">E264/'Correction factors'!$B$10</f>
        <v>6.452</v>
      </c>
      <c r="G264" s="11" t="n">
        <v>362</v>
      </c>
    </row>
    <row r="265" customFormat="false" ht="15" hidden="false" customHeight="false" outlineLevel="0" collapsed="false">
      <c r="A265" s="10" t="n">
        <v>56.0599992275238</v>
      </c>
      <c r="B265" s="11" t="n">
        <v>200</v>
      </c>
      <c r="C265" s="12" t="n">
        <f aca="false">B265*'Correction factors'!$B$7</f>
        <v>967.8</v>
      </c>
      <c r="D265" s="13" t="n">
        <v>4.977746</v>
      </c>
      <c r="E265" s="14" t="n">
        <v>88</v>
      </c>
      <c r="F265" s="10" t="n">
        <f aca="false">E265/'Correction factors'!$B$10</f>
        <v>7.0972</v>
      </c>
      <c r="G265" s="11" t="n">
        <v>362</v>
      </c>
    </row>
    <row r="266" customFormat="false" ht="15" hidden="false" customHeight="false" outlineLevel="0" collapsed="false">
      <c r="A266" s="10" t="n">
        <v>56.0599992275238</v>
      </c>
      <c r="B266" s="11" t="n">
        <v>180</v>
      </c>
      <c r="C266" s="12" t="n">
        <f aca="false">B266*'Correction factors'!$B$7</f>
        <v>871.02</v>
      </c>
      <c r="D266" s="13" t="n">
        <v>4.958103</v>
      </c>
      <c r="E266" s="14" t="n">
        <v>80</v>
      </c>
      <c r="F266" s="10" t="n">
        <f aca="false">E266/'Correction factors'!$B$10</f>
        <v>6.452</v>
      </c>
      <c r="G266" s="11" t="n">
        <v>362</v>
      </c>
    </row>
    <row r="267" customFormat="false" ht="15" hidden="false" customHeight="false" outlineLevel="0" collapsed="false">
      <c r="A267" s="10" t="n">
        <v>56.0599992275238</v>
      </c>
      <c r="B267" s="11" t="n">
        <v>180</v>
      </c>
      <c r="C267" s="12" t="n">
        <f aca="false">B267*'Correction factors'!$B$7</f>
        <v>871.02</v>
      </c>
      <c r="D267" s="13" t="n">
        <v>4.958103</v>
      </c>
      <c r="E267" s="14" t="n">
        <v>80</v>
      </c>
      <c r="F267" s="10" t="n">
        <f aca="false">E267/'Correction factors'!$B$10</f>
        <v>6.452</v>
      </c>
      <c r="G267" s="11" t="n">
        <v>364</v>
      </c>
    </row>
    <row r="268" customFormat="false" ht="15" hidden="false" customHeight="false" outlineLevel="0" collapsed="false">
      <c r="A268" s="10" t="n">
        <v>56.5336122512817</v>
      </c>
      <c r="B268" s="11" t="n">
        <v>200</v>
      </c>
      <c r="C268" s="12" t="n">
        <f aca="false">B268*'Correction factors'!$B$7</f>
        <v>967.8</v>
      </c>
      <c r="D268" s="13" t="n">
        <v>4.948281</v>
      </c>
      <c r="E268" s="14" t="n">
        <v>80</v>
      </c>
      <c r="F268" s="10" t="n">
        <f aca="false">E268/'Correction factors'!$B$10</f>
        <v>6.452</v>
      </c>
      <c r="G268" s="11" t="n">
        <v>365</v>
      </c>
    </row>
    <row r="269" customFormat="false" ht="15" hidden="false" customHeight="false" outlineLevel="0" collapsed="false">
      <c r="A269" s="10" t="n">
        <v>56.5336122512817</v>
      </c>
      <c r="B269" s="11" t="n">
        <v>220</v>
      </c>
      <c r="C269" s="12" t="n">
        <f aca="false">B269*'Correction factors'!$B$7</f>
        <v>1064.58</v>
      </c>
      <c r="D269" s="13" t="n">
        <v>4.938459</v>
      </c>
      <c r="E269" s="14" t="n">
        <v>80</v>
      </c>
      <c r="F269" s="10" t="n">
        <f aca="false">E269/'Correction factors'!$B$10</f>
        <v>6.452</v>
      </c>
      <c r="G269" s="11" t="n">
        <v>364</v>
      </c>
    </row>
    <row r="270" customFormat="false" ht="15" hidden="false" customHeight="false" outlineLevel="0" collapsed="false">
      <c r="A270" s="10" t="n">
        <v>56.9666259288788</v>
      </c>
      <c r="B270" s="11" t="n">
        <v>200</v>
      </c>
      <c r="C270" s="12" t="n">
        <f aca="false">B270*'Correction factors'!$B$7</f>
        <v>967.8</v>
      </c>
      <c r="D270" s="13" t="n">
        <v>4.928638</v>
      </c>
      <c r="E270" s="14" t="n">
        <v>88</v>
      </c>
      <c r="F270" s="10" t="n">
        <f aca="false">E270/'Correction factors'!$B$10</f>
        <v>7.0972</v>
      </c>
      <c r="G270" s="11" t="n">
        <v>360</v>
      </c>
    </row>
    <row r="271" customFormat="false" ht="15" hidden="false" customHeight="false" outlineLevel="0" collapsed="false">
      <c r="A271" s="10" t="n">
        <v>56.9666259288788</v>
      </c>
      <c r="B271" s="11" t="n">
        <v>180</v>
      </c>
      <c r="C271" s="12" t="n">
        <f aca="false">B271*'Correction factors'!$B$7</f>
        <v>871.02</v>
      </c>
      <c r="D271" s="13" t="n">
        <v>4.928638</v>
      </c>
      <c r="E271" s="14" t="n">
        <v>80</v>
      </c>
      <c r="F271" s="10" t="n">
        <f aca="false">E271/'Correction factors'!$B$10</f>
        <v>6.452</v>
      </c>
      <c r="G271" s="11" t="n">
        <v>362</v>
      </c>
    </row>
    <row r="272" customFormat="false" ht="15" hidden="false" customHeight="false" outlineLevel="0" collapsed="false">
      <c r="A272" s="10" t="n">
        <v>57.3905329704285</v>
      </c>
      <c r="B272" s="11" t="n">
        <v>180</v>
      </c>
      <c r="C272" s="12" t="n">
        <f aca="false">B272*'Correction factors'!$B$7</f>
        <v>871.02</v>
      </c>
      <c r="D272" s="13" t="n">
        <v>4.918817</v>
      </c>
      <c r="E272" s="14" t="n">
        <v>80</v>
      </c>
      <c r="F272" s="10" t="n">
        <f aca="false">E272/'Correction factors'!$B$10</f>
        <v>6.452</v>
      </c>
      <c r="G272" s="11" t="n">
        <v>365</v>
      </c>
    </row>
    <row r="273" customFormat="false" ht="15" hidden="false" customHeight="false" outlineLevel="0" collapsed="false">
      <c r="A273" s="10" t="n">
        <v>57.3905329704285</v>
      </c>
      <c r="B273" s="11" t="n">
        <v>220</v>
      </c>
      <c r="C273" s="12" t="n">
        <f aca="false">B273*'Correction factors'!$B$7</f>
        <v>1064.58</v>
      </c>
      <c r="D273" s="13" t="n">
        <v>4.908995</v>
      </c>
      <c r="E273" s="14" t="n">
        <v>80</v>
      </c>
      <c r="F273" s="10" t="n">
        <f aca="false">E273/'Correction factors'!$B$10</f>
        <v>6.452</v>
      </c>
      <c r="G273" s="11" t="n">
        <v>365</v>
      </c>
    </row>
    <row r="274" customFormat="false" ht="15" hidden="false" customHeight="false" outlineLevel="0" collapsed="false">
      <c r="A274" s="10" t="n">
        <v>57.8113737106323</v>
      </c>
      <c r="B274" s="11" t="n">
        <v>200</v>
      </c>
      <c r="C274" s="12" t="n">
        <f aca="false">B274*'Correction factors'!$B$7</f>
        <v>967.8</v>
      </c>
      <c r="D274" s="13" t="n">
        <v>4.908995</v>
      </c>
      <c r="E274" s="14" t="n">
        <v>88</v>
      </c>
      <c r="F274" s="10" t="n">
        <f aca="false">E274/'Correction factors'!$B$10</f>
        <v>7.0972</v>
      </c>
      <c r="G274" s="11" t="n">
        <v>362</v>
      </c>
    </row>
    <row r="275" customFormat="false" ht="15" hidden="false" customHeight="false" outlineLevel="0" collapsed="false">
      <c r="A275" s="10" t="n">
        <v>57.8113737106323</v>
      </c>
      <c r="B275" s="11" t="n">
        <v>180</v>
      </c>
      <c r="C275" s="12" t="n">
        <f aca="false">B275*'Correction factors'!$B$7</f>
        <v>871.02</v>
      </c>
      <c r="D275" s="13" t="n">
        <v>4.899173</v>
      </c>
      <c r="E275" s="14" t="n">
        <v>80</v>
      </c>
      <c r="F275" s="10" t="n">
        <f aca="false">E275/'Correction factors'!$B$10</f>
        <v>6.452</v>
      </c>
      <c r="G275" s="11" t="n">
        <v>363</v>
      </c>
    </row>
    <row r="276" customFormat="false" ht="15" hidden="false" customHeight="false" outlineLevel="0" collapsed="false">
      <c r="A276" s="10" t="n">
        <v>58.2480533123016</v>
      </c>
      <c r="B276" s="11" t="n">
        <v>200</v>
      </c>
      <c r="C276" s="12" t="n">
        <f aca="false">B276*'Correction factors'!$B$7</f>
        <v>967.8</v>
      </c>
      <c r="D276" s="13" t="n">
        <v>4.899173</v>
      </c>
      <c r="E276" s="14" t="n">
        <v>80</v>
      </c>
      <c r="F276" s="10" t="n">
        <f aca="false">E276/'Correction factors'!$B$10</f>
        <v>6.452</v>
      </c>
      <c r="G276" s="11" t="n">
        <v>365</v>
      </c>
    </row>
    <row r="277" customFormat="false" ht="15" hidden="false" customHeight="false" outlineLevel="0" collapsed="false">
      <c r="A277" s="10" t="n">
        <v>58.2480533123016</v>
      </c>
      <c r="B277" s="11" t="n">
        <v>200</v>
      </c>
      <c r="C277" s="12" t="n">
        <f aca="false">B277*'Correction factors'!$B$7</f>
        <v>967.8</v>
      </c>
      <c r="D277" s="13" t="n">
        <v>4.889352</v>
      </c>
      <c r="E277" s="14" t="n">
        <v>88</v>
      </c>
      <c r="F277" s="10" t="n">
        <f aca="false">E277/'Correction factors'!$B$10</f>
        <v>7.0972</v>
      </c>
      <c r="G277" s="11" t="n">
        <v>365</v>
      </c>
    </row>
    <row r="278" customFormat="false" ht="15" hidden="false" customHeight="false" outlineLevel="0" collapsed="false">
      <c r="A278" s="10" t="n">
        <v>58.6776211261749</v>
      </c>
      <c r="B278" s="11" t="n">
        <v>200</v>
      </c>
      <c r="C278" s="12" t="n">
        <f aca="false">B278*'Correction factors'!$B$7</f>
        <v>967.8</v>
      </c>
      <c r="D278" s="13" t="n">
        <v>4.87953</v>
      </c>
      <c r="E278" s="14" t="n">
        <v>88</v>
      </c>
      <c r="F278" s="10" t="n">
        <f aca="false">E278/'Correction factors'!$B$10</f>
        <v>7.0972</v>
      </c>
      <c r="G278" s="11" t="n">
        <v>364</v>
      </c>
    </row>
    <row r="279" customFormat="false" ht="15" hidden="false" customHeight="false" outlineLevel="0" collapsed="false">
      <c r="A279" s="10" t="n">
        <v>58.6776211261749</v>
      </c>
      <c r="B279" s="11" t="n">
        <v>200</v>
      </c>
      <c r="C279" s="12" t="n">
        <f aca="false">B279*'Correction factors'!$B$7</f>
        <v>967.8</v>
      </c>
      <c r="D279" s="13" t="n">
        <v>4.859887</v>
      </c>
      <c r="E279" s="14" t="n">
        <v>88</v>
      </c>
      <c r="F279" s="10" t="n">
        <f aca="false">E279/'Correction factors'!$B$10</f>
        <v>7.0972</v>
      </c>
      <c r="G279" s="11" t="n">
        <v>364</v>
      </c>
    </row>
    <row r="280" customFormat="false" ht="15" hidden="false" customHeight="false" outlineLevel="0" collapsed="false">
      <c r="A280" s="10" t="n">
        <v>59.1067910194397</v>
      </c>
      <c r="B280" s="11" t="n">
        <v>220</v>
      </c>
      <c r="C280" s="12" t="n">
        <f aca="false">B280*'Correction factors'!$B$7</f>
        <v>1064.58</v>
      </c>
      <c r="D280" s="13" t="n">
        <v>4.859887</v>
      </c>
      <c r="E280" s="14" t="n">
        <v>88</v>
      </c>
      <c r="F280" s="10" t="n">
        <f aca="false">E280/'Correction factors'!$B$10</f>
        <v>7.0972</v>
      </c>
      <c r="G280" s="11" t="n">
        <v>364</v>
      </c>
    </row>
    <row r="281" customFormat="false" ht="15" hidden="false" customHeight="false" outlineLevel="0" collapsed="false">
      <c r="A281" s="10" t="n">
        <v>59.1067910194397</v>
      </c>
      <c r="B281" s="11" t="n">
        <v>220</v>
      </c>
      <c r="C281" s="12" t="n">
        <f aca="false">B281*'Correction factors'!$B$7</f>
        <v>1064.58</v>
      </c>
      <c r="D281" s="13" t="n">
        <v>4.850065</v>
      </c>
      <c r="E281" s="14" t="n">
        <v>80</v>
      </c>
      <c r="F281" s="10" t="n">
        <f aca="false">E281/'Correction factors'!$B$10</f>
        <v>6.452</v>
      </c>
      <c r="G281" s="11" t="n">
        <v>363</v>
      </c>
    </row>
    <row r="282" customFormat="false" ht="15" hidden="false" customHeight="false" outlineLevel="0" collapsed="false">
      <c r="A282" s="10" t="n">
        <v>59.5287775993347</v>
      </c>
      <c r="B282" s="11" t="n">
        <v>220</v>
      </c>
      <c r="C282" s="12" t="n">
        <f aca="false">B282*'Correction factors'!$B$7</f>
        <v>1064.58</v>
      </c>
      <c r="D282" s="13" t="n">
        <v>4.840244</v>
      </c>
      <c r="E282" s="14" t="n">
        <v>88</v>
      </c>
      <c r="F282" s="10" t="n">
        <f aca="false">E282/'Correction factors'!$B$10</f>
        <v>7.0972</v>
      </c>
      <c r="G282" s="11" t="n">
        <v>360</v>
      </c>
    </row>
    <row r="283" customFormat="false" ht="15" hidden="false" customHeight="false" outlineLevel="0" collapsed="false">
      <c r="A283" s="10" t="n">
        <v>59.5287775993347</v>
      </c>
      <c r="B283" s="11" t="n">
        <v>180</v>
      </c>
      <c r="C283" s="12" t="n">
        <f aca="false">B283*'Correction factors'!$B$7</f>
        <v>871.02</v>
      </c>
      <c r="D283" s="13" t="n">
        <v>4.840244</v>
      </c>
      <c r="E283" s="14" t="n">
        <v>88</v>
      </c>
      <c r="F283" s="10" t="n">
        <f aca="false">E283/'Correction factors'!$B$10</f>
        <v>7.0972</v>
      </c>
      <c r="G283" s="11" t="n">
        <v>360</v>
      </c>
    </row>
    <row r="284" customFormat="false" ht="15" hidden="false" customHeight="false" outlineLevel="0" collapsed="false">
      <c r="A284" s="10" t="n">
        <v>59.9546763896942</v>
      </c>
      <c r="B284" s="11" t="n">
        <v>180</v>
      </c>
      <c r="C284" s="12" t="n">
        <f aca="false">B284*'Correction factors'!$B$7</f>
        <v>871.02</v>
      </c>
      <c r="D284" s="13" t="n">
        <v>4.850065</v>
      </c>
      <c r="E284" s="14" t="n">
        <v>72</v>
      </c>
      <c r="F284" s="10" t="n">
        <f aca="false">E284/'Correction factors'!$B$10</f>
        <v>5.8068</v>
      </c>
      <c r="G284" s="11" t="n">
        <v>366</v>
      </c>
    </row>
    <row r="285" customFormat="false" ht="15" hidden="false" customHeight="false" outlineLevel="0" collapsed="false">
      <c r="A285" s="10" t="n">
        <v>59.9546763896942</v>
      </c>
      <c r="B285" s="11" t="n">
        <v>200</v>
      </c>
      <c r="C285" s="12" t="n">
        <f aca="false">B285*'Correction factors'!$B$7</f>
        <v>967.8</v>
      </c>
      <c r="D285" s="13" t="n">
        <v>4.840244</v>
      </c>
      <c r="E285" s="14" t="n">
        <v>88</v>
      </c>
      <c r="F285" s="10" t="n">
        <f aca="false">E285/'Correction factors'!$B$10</f>
        <v>7.0972</v>
      </c>
      <c r="G285" s="11" t="n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5"/>
    <col collapsed="false" customWidth="true" hidden="false" outlineLevel="0" max="6" min="5" style="0" width="20"/>
    <col collapsed="false" customWidth="true" hidden="false" outlineLevel="0" max="7" min="7" style="0" width="15"/>
  </cols>
  <sheetData>
    <row r="1" customFormat="false" ht="30" hidden="false" customHeight="tru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</row>
    <row r="2" customFormat="false" ht="15" hidden="false" customHeight="false" outlineLevel="0" collapsed="false">
      <c r="A2" s="10" t="n">
        <v>1.38368654251099</v>
      </c>
      <c r="B2" s="11" t="n">
        <v>0</v>
      </c>
      <c r="C2" s="12" t="n">
        <f aca="false">B2*'Correction factors'!$B$7</f>
        <v>0</v>
      </c>
      <c r="D2" s="13" t="n">
        <v>1.05893</v>
      </c>
      <c r="E2" s="14" t="n">
        <v>0</v>
      </c>
      <c r="F2" s="10" t="n">
        <f aca="false">E2/'Correction factors'!$B$10</f>
        <v>0</v>
      </c>
      <c r="G2" s="11" t="n">
        <v>510</v>
      </c>
    </row>
    <row r="3" customFormat="false" ht="15" hidden="false" customHeight="false" outlineLevel="0" collapsed="false">
      <c r="A3" s="10" t="n">
        <v>1.83072590827942</v>
      </c>
      <c r="B3" s="11" t="n">
        <v>0</v>
      </c>
      <c r="C3" s="12" t="n">
        <f aca="false">B3*'Correction factors'!$B$7</f>
        <v>0</v>
      </c>
      <c r="D3" s="13" t="n">
        <v>1.049108</v>
      </c>
      <c r="E3" s="14" t="n">
        <v>0</v>
      </c>
      <c r="F3" s="10" t="n">
        <f aca="false">E3/'Correction factors'!$B$10</f>
        <v>0</v>
      </c>
      <c r="G3" s="11" t="n">
        <v>238</v>
      </c>
    </row>
    <row r="4" customFormat="false" ht="15" hidden="false" customHeight="false" outlineLevel="0" collapsed="false">
      <c r="A4" s="10" t="n">
        <v>1.83072590827942</v>
      </c>
      <c r="B4" s="11" t="n">
        <v>0</v>
      </c>
      <c r="C4" s="12" t="n">
        <f aca="false">B4*'Correction factors'!$B$7</f>
        <v>0</v>
      </c>
      <c r="D4" s="13" t="n">
        <v>1.049108</v>
      </c>
      <c r="E4" s="14" t="n">
        <v>0</v>
      </c>
      <c r="F4" s="10" t="n">
        <f aca="false">E4/'Correction factors'!$B$10</f>
        <v>0</v>
      </c>
      <c r="G4" s="11" t="n">
        <v>239</v>
      </c>
    </row>
    <row r="5" customFormat="false" ht="15" hidden="false" customHeight="false" outlineLevel="0" collapsed="false">
      <c r="A5" s="10" t="n">
        <v>2.33223152160645</v>
      </c>
      <c r="B5" s="11" t="n">
        <v>0</v>
      </c>
      <c r="C5" s="12" t="n">
        <f aca="false">B5*'Correction factors'!$B$7</f>
        <v>0</v>
      </c>
      <c r="D5" s="13" t="n">
        <v>1.049108</v>
      </c>
      <c r="E5" s="14" t="n">
        <v>0</v>
      </c>
      <c r="F5" s="10" t="n">
        <f aca="false">E5/'Correction factors'!$B$10</f>
        <v>0</v>
      </c>
      <c r="G5" s="11" t="n">
        <v>249</v>
      </c>
    </row>
    <row r="6" customFormat="false" ht="15" hidden="false" customHeight="false" outlineLevel="0" collapsed="false">
      <c r="A6" s="10" t="n">
        <v>2.33223152160645</v>
      </c>
      <c r="B6" s="11" t="n">
        <v>0</v>
      </c>
      <c r="C6" s="12" t="n">
        <f aca="false">B6*'Correction factors'!$B$7</f>
        <v>0</v>
      </c>
      <c r="D6" s="13" t="n">
        <v>1.039286</v>
      </c>
      <c r="E6" s="14" t="n">
        <v>0</v>
      </c>
      <c r="F6" s="10" t="n">
        <f aca="false">E6/'Correction factors'!$B$10</f>
        <v>0</v>
      </c>
      <c r="G6" s="11" t="n">
        <v>251</v>
      </c>
    </row>
    <row r="7" customFormat="false" ht="15" hidden="false" customHeight="false" outlineLevel="0" collapsed="false">
      <c r="A7" s="10" t="n">
        <v>2.33223152160645</v>
      </c>
      <c r="B7" s="11" t="n">
        <v>0</v>
      </c>
      <c r="C7" s="12" t="n">
        <f aca="false">B7*'Correction factors'!$B$7</f>
        <v>0</v>
      </c>
      <c r="D7" s="13" t="n">
        <v>1.049108</v>
      </c>
      <c r="E7" s="14" t="n">
        <v>0</v>
      </c>
      <c r="F7" s="10" t="n">
        <f aca="false">E7/'Correction factors'!$B$10</f>
        <v>0</v>
      </c>
      <c r="G7" s="11" t="n">
        <v>256</v>
      </c>
    </row>
    <row r="8" customFormat="false" ht="15" hidden="false" customHeight="false" outlineLevel="0" collapsed="false">
      <c r="A8" s="10" t="n">
        <v>2.80328106880188</v>
      </c>
      <c r="B8" s="11" t="n">
        <v>0</v>
      </c>
      <c r="C8" s="12" t="n">
        <f aca="false">B8*'Correction factors'!$B$7</f>
        <v>0</v>
      </c>
      <c r="D8" s="13" t="n">
        <v>1.049108</v>
      </c>
      <c r="E8" s="14" t="n">
        <v>0</v>
      </c>
      <c r="F8" s="10" t="n">
        <f aca="false">E8/'Correction factors'!$B$10</f>
        <v>0</v>
      </c>
      <c r="G8" s="11" t="n">
        <v>266</v>
      </c>
    </row>
    <row r="9" customFormat="false" ht="15" hidden="false" customHeight="false" outlineLevel="0" collapsed="false">
      <c r="A9" s="10" t="n">
        <v>2.80328106880188</v>
      </c>
      <c r="B9" s="11" t="n">
        <v>0</v>
      </c>
      <c r="C9" s="12" t="n">
        <f aca="false">B9*'Correction factors'!$B$7</f>
        <v>0</v>
      </c>
      <c r="D9" s="13" t="n">
        <v>1.05893</v>
      </c>
      <c r="E9" s="14" t="n">
        <v>0</v>
      </c>
      <c r="F9" s="10" t="n">
        <f aca="false">E9/'Correction factors'!$B$10</f>
        <v>0</v>
      </c>
      <c r="G9" s="11" t="n">
        <v>268</v>
      </c>
    </row>
    <row r="10" customFormat="false" ht="15" hidden="false" customHeight="false" outlineLevel="0" collapsed="false">
      <c r="A10" s="10" t="n">
        <v>3.24197793006897</v>
      </c>
      <c r="B10" s="11" t="n">
        <v>0</v>
      </c>
      <c r="C10" s="12" t="n">
        <f aca="false">B10*'Correction factors'!$B$7</f>
        <v>0</v>
      </c>
      <c r="D10" s="13" t="n">
        <v>1.049108</v>
      </c>
      <c r="E10" s="14" t="n">
        <v>0</v>
      </c>
      <c r="F10" s="10" t="n">
        <f aca="false">E10/'Correction factors'!$B$10</f>
        <v>0</v>
      </c>
      <c r="G10" s="11" t="n">
        <v>281</v>
      </c>
    </row>
    <row r="11" customFormat="false" ht="15" hidden="false" customHeight="false" outlineLevel="0" collapsed="false">
      <c r="A11" s="10" t="n">
        <v>3.24197793006897</v>
      </c>
      <c r="B11" s="11" t="n">
        <v>0</v>
      </c>
      <c r="C11" s="12" t="n">
        <f aca="false">B11*'Correction factors'!$B$7</f>
        <v>0</v>
      </c>
      <c r="D11" s="13" t="n">
        <v>1.05893</v>
      </c>
      <c r="E11" s="14" t="n">
        <v>0</v>
      </c>
      <c r="F11" s="10" t="n">
        <f aca="false">E11/'Correction factors'!$B$10</f>
        <v>0</v>
      </c>
      <c r="G11" s="11" t="n">
        <v>281</v>
      </c>
    </row>
    <row r="12" customFormat="false" ht="15" hidden="false" customHeight="false" outlineLevel="0" collapsed="false">
      <c r="A12" s="10" t="n">
        <v>3.6974151134491</v>
      </c>
      <c r="B12" s="11" t="n">
        <v>0</v>
      </c>
      <c r="C12" s="12" t="n">
        <f aca="false">B12*'Correction factors'!$B$7</f>
        <v>0</v>
      </c>
      <c r="D12" s="13" t="n">
        <v>1.049108</v>
      </c>
      <c r="E12" s="14" t="n">
        <v>0</v>
      </c>
      <c r="F12" s="10" t="n">
        <f aca="false">E12/'Correction factors'!$B$10</f>
        <v>0</v>
      </c>
      <c r="G12" s="11" t="n">
        <v>290</v>
      </c>
    </row>
    <row r="13" customFormat="false" ht="15" hidden="false" customHeight="false" outlineLevel="0" collapsed="false">
      <c r="A13" s="10" t="n">
        <v>3.6974151134491</v>
      </c>
      <c r="B13" s="11" t="n">
        <v>0</v>
      </c>
      <c r="C13" s="12" t="n">
        <f aca="false">B13*'Correction factors'!$B$7</f>
        <v>0</v>
      </c>
      <c r="D13" s="13" t="n">
        <v>1.049108</v>
      </c>
      <c r="E13" s="14" t="n">
        <v>0</v>
      </c>
      <c r="F13" s="10" t="n">
        <f aca="false">E13/'Correction factors'!$B$10</f>
        <v>0</v>
      </c>
      <c r="G13" s="11" t="n">
        <v>293</v>
      </c>
    </row>
    <row r="14" customFormat="false" ht="15" hidden="false" customHeight="false" outlineLevel="0" collapsed="false">
      <c r="A14" s="10" t="n">
        <v>4.15424847602844</v>
      </c>
      <c r="B14" s="11" t="n">
        <v>0</v>
      </c>
      <c r="C14" s="12" t="n">
        <f aca="false">B14*'Correction factors'!$B$7</f>
        <v>0</v>
      </c>
      <c r="D14" s="13" t="n">
        <v>1.049108</v>
      </c>
      <c r="E14" s="14" t="n">
        <v>0</v>
      </c>
      <c r="F14" s="10" t="n">
        <f aca="false">E14/'Correction factors'!$B$10</f>
        <v>0</v>
      </c>
      <c r="G14" s="11" t="n">
        <v>303</v>
      </c>
    </row>
    <row r="15" customFormat="false" ht="15" hidden="false" customHeight="false" outlineLevel="0" collapsed="false">
      <c r="A15" s="10" t="n">
        <v>4.15424847602844</v>
      </c>
      <c r="B15" s="11" t="n">
        <v>0</v>
      </c>
      <c r="C15" s="12" t="n">
        <f aca="false">B15*'Correction factors'!$B$7</f>
        <v>0</v>
      </c>
      <c r="D15" s="13" t="n">
        <v>1.039286</v>
      </c>
      <c r="E15" s="14" t="n">
        <v>0</v>
      </c>
      <c r="F15" s="10" t="n">
        <f aca="false">E15/'Correction factors'!$B$10</f>
        <v>0</v>
      </c>
      <c r="G15" s="11" t="n">
        <v>306</v>
      </c>
    </row>
    <row r="16" customFormat="false" ht="15" hidden="false" customHeight="false" outlineLevel="0" collapsed="false">
      <c r="A16" s="10" t="n">
        <v>4.15424847602844</v>
      </c>
      <c r="B16" s="11" t="n">
        <v>0</v>
      </c>
      <c r="C16" s="12" t="n">
        <f aca="false">B16*'Correction factors'!$B$7</f>
        <v>0</v>
      </c>
      <c r="D16" s="13" t="n">
        <v>1.049108</v>
      </c>
      <c r="E16" s="14" t="n">
        <v>0</v>
      </c>
      <c r="F16" s="10" t="n">
        <f aca="false">E16/'Correction factors'!$B$10</f>
        <v>0</v>
      </c>
      <c r="G16" s="11" t="n">
        <v>313</v>
      </c>
    </row>
    <row r="17" customFormat="false" ht="15" hidden="false" customHeight="false" outlineLevel="0" collapsed="false">
      <c r="A17" s="10" t="n">
        <v>4.64983081817627</v>
      </c>
      <c r="B17" s="11" t="n">
        <v>0</v>
      </c>
      <c r="C17" s="12" t="n">
        <f aca="false">B17*'Correction factors'!$B$7</f>
        <v>0</v>
      </c>
      <c r="D17" s="13" t="n">
        <v>1.049108</v>
      </c>
      <c r="E17" s="14" t="n">
        <v>0</v>
      </c>
      <c r="F17" s="10" t="n">
        <f aca="false">E17/'Correction factors'!$B$10</f>
        <v>0</v>
      </c>
      <c r="G17" s="11" t="n">
        <v>321</v>
      </c>
    </row>
    <row r="18" customFormat="false" ht="15" hidden="false" customHeight="false" outlineLevel="0" collapsed="false">
      <c r="A18" s="10" t="n">
        <v>4.64983081817627</v>
      </c>
      <c r="B18" s="11" t="n">
        <v>0</v>
      </c>
      <c r="C18" s="12" t="n">
        <f aca="false">B18*'Correction factors'!$B$7</f>
        <v>0</v>
      </c>
      <c r="D18" s="13" t="n">
        <v>1.049108</v>
      </c>
      <c r="E18" s="14" t="n">
        <v>0</v>
      </c>
      <c r="F18" s="10" t="n">
        <f aca="false">E18/'Correction factors'!$B$10</f>
        <v>0</v>
      </c>
      <c r="G18" s="11" t="n">
        <v>324</v>
      </c>
    </row>
    <row r="19" customFormat="false" ht="15" hidden="false" customHeight="false" outlineLevel="0" collapsed="false">
      <c r="A19" s="10" t="n">
        <v>5.07390666007996</v>
      </c>
      <c r="B19" s="11" t="n">
        <v>0</v>
      </c>
      <c r="C19" s="12" t="n">
        <f aca="false">B19*'Correction factors'!$B$7</f>
        <v>0</v>
      </c>
      <c r="D19" s="13" t="n">
        <v>1.049108</v>
      </c>
      <c r="E19" s="14" t="n">
        <v>0</v>
      </c>
      <c r="F19" s="10" t="n">
        <f aca="false">E19/'Correction factors'!$B$10</f>
        <v>0</v>
      </c>
      <c r="G19" s="11" t="n">
        <v>335</v>
      </c>
    </row>
    <row r="20" customFormat="false" ht="15" hidden="false" customHeight="false" outlineLevel="0" collapsed="false">
      <c r="A20" s="10" t="n">
        <v>5.07390666007996</v>
      </c>
      <c r="B20" s="11" t="n">
        <v>0</v>
      </c>
      <c r="C20" s="12" t="n">
        <f aca="false">B20*'Correction factors'!$B$7</f>
        <v>0</v>
      </c>
      <c r="D20" s="13" t="n">
        <v>1.049108</v>
      </c>
      <c r="E20" s="14" t="n">
        <v>0</v>
      </c>
      <c r="F20" s="10" t="n">
        <f aca="false">E20/'Correction factors'!$B$10</f>
        <v>0</v>
      </c>
      <c r="G20" s="11" t="n">
        <v>337</v>
      </c>
    </row>
    <row r="21" customFormat="false" ht="15" hidden="false" customHeight="false" outlineLevel="0" collapsed="false">
      <c r="A21" s="10" t="n">
        <v>5.49752688407898</v>
      </c>
      <c r="B21" s="11" t="n">
        <v>0</v>
      </c>
      <c r="C21" s="12" t="n">
        <f aca="false">B21*'Correction factors'!$B$7</f>
        <v>0</v>
      </c>
      <c r="D21" s="13" t="n">
        <v>1.05893</v>
      </c>
      <c r="E21" s="14" t="n">
        <v>0</v>
      </c>
      <c r="F21" s="10" t="n">
        <f aca="false">E21/'Correction factors'!$B$10</f>
        <v>0</v>
      </c>
      <c r="G21" s="11" t="n">
        <v>347</v>
      </c>
    </row>
    <row r="22" customFormat="false" ht="15" hidden="false" customHeight="false" outlineLevel="0" collapsed="false">
      <c r="A22" s="10" t="n">
        <v>5.49752688407898</v>
      </c>
      <c r="B22" s="11" t="n">
        <v>0</v>
      </c>
      <c r="C22" s="12" t="n">
        <f aca="false">B22*'Correction factors'!$B$7</f>
        <v>0</v>
      </c>
      <c r="D22" s="13" t="n">
        <v>1.049108</v>
      </c>
      <c r="E22" s="14" t="n">
        <v>0</v>
      </c>
      <c r="F22" s="10" t="n">
        <f aca="false">E22/'Correction factors'!$B$10</f>
        <v>0</v>
      </c>
      <c r="G22" s="11" t="n">
        <v>350</v>
      </c>
    </row>
    <row r="23" customFormat="false" ht="15" hidden="false" customHeight="false" outlineLevel="0" collapsed="false">
      <c r="A23" s="10" t="n">
        <v>5.92939186096191</v>
      </c>
      <c r="B23" s="11" t="n">
        <v>0</v>
      </c>
      <c r="C23" s="12" t="n">
        <f aca="false">B23*'Correction factors'!$B$7</f>
        <v>0</v>
      </c>
      <c r="D23" s="13" t="n">
        <v>1.049108</v>
      </c>
      <c r="E23" s="14" t="n">
        <v>0</v>
      </c>
      <c r="F23" s="10" t="n">
        <f aca="false">E23/'Correction factors'!$B$10</f>
        <v>0</v>
      </c>
      <c r="G23" s="11" t="n">
        <v>360</v>
      </c>
    </row>
    <row r="24" customFormat="false" ht="15" hidden="false" customHeight="false" outlineLevel="0" collapsed="false">
      <c r="A24" s="10" t="n">
        <v>5.92939186096191</v>
      </c>
      <c r="B24" s="11" t="n">
        <v>0</v>
      </c>
      <c r="C24" s="12" t="n">
        <f aca="false">B24*'Correction factors'!$B$7</f>
        <v>0</v>
      </c>
      <c r="D24" s="13" t="n">
        <v>1.049108</v>
      </c>
      <c r="E24" s="14" t="n">
        <v>0</v>
      </c>
      <c r="F24" s="10" t="n">
        <f aca="false">E24/'Correction factors'!$B$10</f>
        <v>0</v>
      </c>
      <c r="G24" s="11" t="n">
        <v>363</v>
      </c>
    </row>
    <row r="25" customFormat="false" ht="15" hidden="false" customHeight="false" outlineLevel="0" collapsed="false">
      <c r="A25" s="10" t="n">
        <v>6.36369276046753</v>
      </c>
      <c r="B25" s="11" t="n">
        <v>0</v>
      </c>
      <c r="C25" s="12" t="n">
        <f aca="false">B25*'Correction factors'!$B$7</f>
        <v>0</v>
      </c>
      <c r="D25" s="13" t="n">
        <v>1.049108</v>
      </c>
      <c r="E25" s="14" t="n">
        <v>0</v>
      </c>
      <c r="F25" s="10" t="n">
        <f aca="false">E25/'Correction factors'!$B$10</f>
        <v>0</v>
      </c>
      <c r="G25" s="11" t="n">
        <v>372</v>
      </c>
    </row>
    <row r="26" customFormat="false" ht="15" hidden="false" customHeight="false" outlineLevel="0" collapsed="false">
      <c r="A26" s="10" t="n">
        <v>6.36369276046753</v>
      </c>
      <c r="B26" s="11" t="n">
        <v>0</v>
      </c>
      <c r="C26" s="12" t="n">
        <f aca="false">B26*'Correction factors'!$B$7</f>
        <v>0</v>
      </c>
      <c r="D26" s="13" t="n">
        <v>1.049108</v>
      </c>
      <c r="E26" s="14" t="n">
        <v>0</v>
      </c>
      <c r="F26" s="10" t="n">
        <f aca="false">E26/'Correction factors'!$B$10</f>
        <v>0</v>
      </c>
      <c r="G26" s="11" t="n">
        <v>374</v>
      </c>
    </row>
    <row r="27" customFormat="false" ht="15" hidden="false" customHeight="false" outlineLevel="0" collapsed="false">
      <c r="A27" s="10" t="n">
        <v>6.84545683860779</v>
      </c>
      <c r="B27" s="11" t="n">
        <v>0</v>
      </c>
      <c r="C27" s="12" t="n">
        <f aca="false">B27*'Correction factors'!$B$7</f>
        <v>0</v>
      </c>
      <c r="D27" s="13" t="n">
        <v>1.05893</v>
      </c>
      <c r="E27" s="14" t="n">
        <v>0</v>
      </c>
      <c r="F27" s="10" t="n">
        <f aca="false">E27/'Correction factors'!$B$10</f>
        <v>0</v>
      </c>
      <c r="G27" s="11" t="n">
        <v>385</v>
      </c>
    </row>
    <row r="28" customFormat="false" ht="15" hidden="false" customHeight="false" outlineLevel="0" collapsed="false">
      <c r="A28" s="10" t="n">
        <v>6.84545683860779</v>
      </c>
      <c r="B28" s="11" t="n">
        <v>0</v>
      </c>
      <c r="C28" s="12" t="n">
        <f aca="false">B28*'Correction factors'!$B$7</f>
        <v>0</v>
      </c>
      <c r="D28" s="13" t="n">
        <v>1.049108</v>
      </c>
      <c r="E28" s="14" t="n">
        <v>0</v>
      </c>
      <c r="F28" s="10" t="n">
        <f aca="false">E28/'Correction factors'!$B$10</f>
        <v>0</v>
      </c>
      <c r="G28" s="11" t="n">
        <v>387</v>
      </c>
    </row>
    <row r="29" customFormat="false" ht="15" hidden="false" customHeight="false" outlineLevel="0" collapsed="false">
      <c r="A29" s="10" t="n">
        <v>6.84545683860779</v>
      </c>
      <c r="B29" s="11" t="n">
        <v>0</v>
      </c>
      <c r="C29" s="12" t="n">
        <f aca="false">B29*'Correction factors'!$B$7</f>
        <v>0</v>
      </c>
      <c r="D29" s="13" t="n">
        <v>1.049108</v>
      </c>
      <c r="E29" s="14" t="n">
        <v>0</v>
      </c>
      <c r="F29" s="10" t="n">
        <f aca="false">E29/'Correction factors'!$B$10</f>
        <v>0</v>
      </c>
      <c r="G29" s="11" t="n">
        <v>396</v>
      </c>
    </row>
    <row r="30" customFormat="false" ht="15" hidden="false" customHeight="false" outlineLevel="0" collapsed="false">
      <c r="A30" s="10" t="n">
        <v>7.3311288356781</v>
      </c>
      <c r="B30" s="11" t="n">
        <v>0</v>
      </c>
      <c r="C30" s="12" t="n">
        <f aca="false">B30*'Correction factors'!$B$7</f>
        <v>0</v>
      </c>
      <c r="D30" s="13" t="n">
        <v>1.049108</v>
      </c>
      <c r="E30" s="14" t="n">
        <v>0</v>
      </c>
      <c r="F30" s="10" t="n">
        <f aca="false">E30/'Correction factors'!$B$10</f>
        <v>0</v>
      </c>
      <c r="G30" s="11" t="n">
        <v>404</v>
      </c>
    </row>
    <row r="31" customFormat="false" ht="15" hidden="false" customHeight="false" outlineLevel="0" collapsed="false">
      <c r="A31" s="10" t="n">
        <v>7.3311288356781</v>
      </c>
      <c r="B31" s="11" t="n">
        <v>0</v>
      </c>
      <c r="C31" s="12" t="n">
        <f aca="false">B31*'Correction factors'!$B$7</f>
        <v>0</v>
      </c>
      <c r="D31" s="13" t="n">
        <v>1.049108</v>
      </c>
      <c r="E31" s="14" t="n">
        <v>0</v>
      </c>
      <c r="F31" s="10" t="n">
        <f aca="false">E31/'Correction factors'!$B$10</f>
        <v>0</v>
      </c>
      <c r="G31" s="11" t="n">
        <v>406</v>
      </c>
    </row>
    <row r="32" customFormat="false" ht="15" hidden="false" customHeight="false" outlineLevel="0" collapsed="false">
      <c r="A32" s="10" t="n">
        <v>7.77964615821838</v>
      </c>
      <c r="B32" s="11" t="n">
        <v>0</v>
      </c>
      <c r="C32" s="12" t="n">
        <f aca="false">B32*'Correction factors'!$B$7</f>
        <v>0</v>
      </c>
      <c r="D32" s="13" t="n">
        <v>1.049108</v>
      </c>
      <c r="E32" s="14" t="n">
        <v>0</v>
      </c>
      <c r="F32" s="10" t="n">
        <f aca="false">E32/'Correction factors'!$B$10</f>
        <v>0</v>
      </c>
      <c r="G32" s="11" t="n">
        <v>416</v>
      </c>
    </row>
    <row r="33" customFormat="false" ht="15" hidden="false" customHeight="false" outlineLevel="0" collapsed="false">
      <c r="A33" s="10" t="n">
        <v>7.77964615821838</v>
      </c>
      <c r="B33" s="11" t="n">
        <v>0</v>
      </c>
      <c r="C33" s="12" t="n">
        <f aca="false">B33*'Correction factors'!$B$7</f>
        <v>0</v>
      </c>
      <c r="D33" s="13" t="n">
        <v>1.05893</v>
      </c>
      <c r="E33" s="14" t="n">
        <v>0</v>
      </c>
      <c r="F33" s="10" t="n">
        <f aca="false">E33/'Correction factors'!$B$10</f>
        <v>0</v>
      </c>
      <c r="G33" s="11" t="n">
        <v>418</v>
      </c>
    </row>
    <row r="34" customFormat="false" ht="15" hidden="false" customHeight="false" outlineLevel="0" collapsed="false">
      <c r="A34" s="10" t="n">
        <v>8.22841572761536</v>
      </c>
      <c r="B34" s="11" t="n">
        <v>0</v>
      </c>
      <c r="C34" s="12" t="n">
        <f aca="false">B34*'Correction factors'!$B$7</f>
        <v>0</v>
      </c>
      <c r="D34" s="13" t="n">
        <v>1.05893</v>
      </c>
      <c r="E34" s="14" t="n">
        <v>0</v>
      </c>
      <c r="F34" s="10" t="n">
        <f aca="false">E34/'Correction factors'!$B$10</f>
        <v>0</v>
      </c>
      <c r="G34" s="11" t="n">
        <v>429</v>
      </c>
    </row>
    <row r="35" customFormat="false" ht="15" hidden="false" customHeight="false" outlineLevel="0" collapsed="false">
      <c r="A35" s="10" t="n">
        <v>8.22841572761536</v>
      </c>
      <c r="B35" s="11" t="n">
        <v>0</v>
      </c>
      <c r="C35" s="12" t="n">
        <f aca="false">B35*'Correction factors'!$B$7</f>
        <v>0</v>
      </c>
      <c r="D35" s="13" t="n">
        <v>1.049108</v>
      </c>
      <c r="E35" s="14" t="n">
        <v>0</v>
      </c>
      <c r="F35" s="10" t="n">
        <f aca="false">E35/'Correction factors'!$B$10</f>
        <v>0</v>
      </c>
      <c r="G35" s="11" t="n">
        <v>431</v>
      </c>
    </row>
    <row r="36" customFormat="false" ht="15" hidden="false" customHeight="false" outlineLevel="0" collapsed="false">
      <c r="A36" s="10" t="n">
        <v>8.65974116325378</v>
      </c>
      <c r="B36" s="11" t="n">
        <v>0</v>
      </c>
      <c r="C36" s="12" t="n">
        <f aca="false">B36*'Correction factors'!$B$7</f>
        <v>0</v>
      </c>
      <c r="D36" s="13" t="n">
        <v>1.05893</v>
      </c>
      <c r="E36" s="14" t="n">
        <v>0</v>
      </c>
      <c r="F36" s="10" t="n">
        <f aca="false">E36/'Correction factors'!$B$10</f>
        <v>0</v>
      </c>
      <c r="G36" s="11" t="n">
        <v>443</v>
      </c>
    </row>
    <row r="37" customFormat="false" ht="15" hidden="false" customHeight="false" outlineLevel="0" collapsed="false">
      <c r="A37" s="10" t="n">
        <v>8.65974116325378</v>
      </c>
      <c r="B37" s="11" t="n">
        <v>0</v>
      </c>
      <c r="C37" s="12" t="n">
        <f aca="false">B37*'Correction factors'!$B$7</f>
        <v>0</v>
      </c>
      <c r="D37" s="13" t="n">
        <v>1.049108</v>
      </c>
      <c r="E37" s="14" t="n">
        <v>0</v>
      </c>
      <c r="F37" s="10" t="n">
        <f aca="false">E37/'Correction factors'!$B$10</f>
        <v>0</v>
      </c>
      <c r="G37" s="11" t="n">
        <v>443</v>
      </c>
    </row>
    <row r="38" customFormat="false" ht="15" hidden="false" customHeight="false" outlineLevel="0" collapsed="false">
      <c r="A38" s="10" t="n">
        <v>9.0946056842804</v>
      </c>
      <c r="B38" s="11" t="n">
        <v>0</v>
      </c>
      <c r="C38" s="12" t="n">
        <f aca="false">B38*'Correction factors'!$B$7</f>
        <v>0</v>
      </c>
      <c r="D38" s="13" t="n">
        <v>1.049108</v>
      </c>
      <c r="E38" s="14" t="n">
        <v>0</v>
      </c>
      <c r="F38" s="10" t="n">
        <f aca="false">E38/'Correction factors'!$B$10</f>
        <v>0</v>
      </c>
      <c r="G38" s="11" t="n">
        <v>453</v>
      </c>
    </row>
    <row r="39" customFormat="false" ht="15" hidden="false" customHeight="false" outlineLevel="0" collapsed="false">
      <c r="A39" s="10" t="n">
        <v>9.0946056842804</v>
      </c>
      <c r="B39" s="11" t="n">
        <v>0</v>
      </c>
      <c r="C39" s="12" t="n">
        <f aca="false">B39*'Correction factors'!$B$7</f>
        <v>0</v>
      </c>
      <c r="D39" s="13" t="n">
        <v>1.05893</v>
      </c>
      <c r="E39" s="14" t="n">
        <v>0</v>
      </c>
      <c r="F39" s="10" t="n">
        <f aca="false">E39/'Correction factors'!$B$10</f>
        <v>0</v>
      </c>
      <c r="G39" s="11" t="n">
        <v>456</v>
      </c>
    </row>
    <row r="40" customFormat="false" ht="15" hidden="false" customHeight="false" outlineLevel="0" collapsed="false">
      <c r="A40" s="10" t="n">
        <v>9.50002098083496</v>
      </c>
      <c r="B40" s="11" t="n">
        <v>0</v>
      </c>
      <c r="C40" s="12" t="n">
        <f aca="false">B40*'Correction factors'!$B$7</f>
        <v>0</v>
      </c>
      <c r="D40" s="13" t="n">
        <v>1.049108</v>
      </c>
      <c r="E40" s="14" t="n">
        <v>0</v>
      </c>
      <c r="F40" s="10" t="n">
        <f aca="false">E40/'Correction factors'!$B$10</f>
        <v>0</v>
      </c>
      <c r="G40" s="11" t="n">
        <v>466</v>
      </c>
    </row>
    <row r="41" customFormat="false" ht="15" hidden="false" customHeight="false" outlineLevel="0" collapsed="false">
      <c r="A41" s="10" t="n">
        <v>9.50002098083496</v>
      </c>
      <c r="B41" s="11" t="n">
        <v>0</v>
      </c>
      <c r="C41" s="12" t="n">
        <f aca="false">B41*'Correction factors'!$B$7</f>
        <v>0</v>
      </c>
      <c r="D41" s="13" t="n">
        <v>1.049108</v>
      </c>
      <c r="E41" s="14" t="n">
        <v>0</v>
      </c>
      <c r="F41" s="10" t="n">
        <f aca="false">E41/'Correction factors'!$B$10</f>
        <v>0</v>
      </c>
      <c r="G41" s="11" t="n">
        <v>468</v>
      </c>
    </row>
    <row r="42" customFormat="false" ht="15" hidden="false" customHeight="false" outlineLevel="0" collapsed="false">
      <c r="A42" s="10" t="n">
        <v>9.91657710075378</v>
      </c>
      <c r="B42" s="11" t="n">
        <v>0</v>
      </c>
      <c r="C42" s="12" t="n">
        <f aca="false">B42*'Correction factors'!$B$7</f>
        <v>0</v>
      </c>
      <c r="D42" s="13" t="n">
        <v>1.049108</v>
      </c>
      <c r="E42" s="14" t="n">
        <v>0</v>
      </c>
      <c r="F42" s="10" t="n">
        <f aca="false">E42/'Correction factors'!$B$10</f>
        <v>0</v>
      </c>
      <c r="G42" s="11" t="n">
        <v>478</v>
      </c>
    </row>
    <row r="43" customFormat="false" ht="15" hidden="false" customHeight="false" outlineLevel="0" collapsed="false">
      <c r="A43" s="10" t="n">
        <v>9.91657710075378</v>
      </c>
      <c r="B43" s="11" t="n">
        <v>0</v>
      </c>
      <c r="C43" s="12" t="n">
        <f aca="false">B43*'Correction factors'!$B$7</f>
        <v>0</v>
      </c>
      <c r="D43" s="13" t="n">
        <v>1.599117</v>
      </c>
      <c r="E43" s="14" t="n">
        <v>24</v>
      </c>
      <c r="F43" s="10" t="n">
        <f aca="false">E43/'Correction factors'!$B$10</f>
        <v>1.9356</v>
      </c>
      <c r="G43" s="11" t="n">
        <v>481</v>
      </c>
    </row>
    <row r="44" customFormat="false" ht="15" hidden="false" customHeight="false" outlineLevel="0" collapsed="false">
      <c r="A44" s="10" t="n">
        <v>10.3351340293884</v>
      </c>
      <c r="B44" s="11" t="n">
        <v>0</v>
      </c>
      <c r="C44" s="12" t="n">
        <f aca="false">B44*'Correction factors'!$B$7</f>
        <v>0</v>
      </c>
      <c r="D44" s="13" t="n">
        <v>1.746441</v>
      </c>
      <c r="E44" s="14" t="n">
        <v>216</v>
      </c>
      <c r="F44" s="10" t="n">
        <f aca="false">E44/'Correction factors'!$B$10</f>
        <v>17.4204</v>
      </c>
      <c r="G44" s="11" t="n">
        <v>490</v>
      </c>
    </row>
    <row r="45" customFormat="false" ht="15" hidden="false" customHeight="false" outlineLevel="0" collapsed="false">
      <c r="A45" s="10" t="n">
        <v>10.3351340293884</v>
      </c>
      <c r="B45" s="11" t="n">
        <v>0</v>
      </c>
      <c r="C45" s="12" t="n">
        <f aca="false">B45*'Correction factors'!$B$7</f>
        <v>0</v>
      </c>
      <c r="D45" s="13" t="n">
        <v>1.893765</v>
      </c>
      <c r="E45" s="14" t="n">
        <v>320</v>
      </c>
      <c r="F45" s="10" t="n">
        <f aca="false">E45/'Correction factors'!$B$10</f>
        <v>25.808</v>
      </c>
      <c r="G45" s="11" t="n">
        <v>493</v>
      </c>
    </row>
    <row r="46" customFormat="false" ht="15" hidden="false" customHeight="false" outlineLevel="0" collapsed="false">
      <c r="A46" s="10" t="n">
        <v>10.3351340293884</v>
      </c>
      <c r="B46" s="11" t="n">
        <v>0</v>
      </c>
      <c r="C46" s="12" t="n">
        <f aca="false">B46*'Correction factors'!$B$7</f>
        <v>0</v>
      </c>
      <c r="D46" s="13" t="n">
        <v>2.021446</v>
      </c>
      <c r="E46" s="14" t="n">
        <v>368</v>
      </c>
      <c r="F46" s="10" t="n">
        <f aca="false">E46/'Correction factors'!$B$10</f>
        <v>29.6792</v>
      </c>
      <c r="G46" s="11" t="n">
        <v>501</v>
      </c>
    </row>
    <row r="47" customFormat="false" ht="15" hidden="false" customHeight="false" outlineLevel="0" collapsed="false">
      <c r="A47" s="10" t="n">
        <v>10.8250288963318</v>
      </c>
      <c r="B47" s="11" t="n">
        <v>0</v>
      </c>
      <c r="C47" s="12" t="n">
        <f aca="false">B47*'Correction factors'!$B$7</f>
        <v>0</v>
      </c>
      <c r="D47" s="13" t="n">
        <v>2.119662</v>
      </c>
      <c r="E47" s="14" t="n">
        <v>400</v>
      </c>
      <c r="F47" s="10" t="n">
        <f aca="false">E47/'Correction factors'!$B$10</f>
        <v>32.26</v>
      </c>
      <c r="G47" s="11" t="n">
        <v>509</v>
      </c>
    </row>
    <row r="48" customFormat="false" ht="15" hidden="false" customHeight="false" outlineLevel="0" collapsed="false">
      <c r="A48" s="10" t="n">
        <v>10.8250288963318</v>
      </c>
      <c r="B48" s="11" t="n">
        <v>0</v>
      </c>
      <c r="C48" s="12" t="n">
        <f aca="false">B48*'Correction factors'!$B$7</f>
        <v>0</v>
      </c>
      <c r="D48" s="13" t="n">
        <v>2.227699</v>
      </c>
      <c r="E48" s="14" t="n">
        <v>440</v>
      </c>
      <c r="F48" s="10" t="n">
        <f aca="false">E48/'Correction factors'!$B$10</f>
        <v>35.486</v>
      </c>
      <c r="G48" s="11" t="n">
        <v>509</v>
      </c>
    </row>
    <row r="49" customFormat="false" ht="15" hidden="false" customHeight="false" outlineLevel="0" collapsed="false">
      <c r="A49" s="10" t="n">
        <v>11.2970521450043</v>
      </c>
      <c r="B49" s="11" t="n">
        <v>0</v>
      </c>
      <c r="C49" s="12" t="n">
        <f aca="false">B49*'Correction factors'!$B$7</f>
        <v>0</v>
      </c>
      <c r="D49" s="13" t="n">
        <v>2.316094</v>
      </c>
      <c r="E49" s="14" t="n">
        <v>456</v>
      </c>
      <c r="F49" s="10" t="n">
        <f aca="false">E49/'Correction factors'!$B$10</f>
        <v>36.7764</v>
      </c>
      <c r="G49" s="11" t="n">
        <v>509</v>
      </c>
    </row>
    <row r="50" customFormat="false" ht="15" hidden="false" customHeight="false" outlineLevel="0" collapsed="false">
      <c r="A50" s="10" t="n">
        <v>11.2970521450043</v>
      </c>
      <c r="B50" s="11" t="n">
        <v>0</v>
      </c>
      <c r="C50" s="12" t="n">
        <f aca="false">B50*'Correction factors'!$B$7</f>
        <v>0</v>
      </c>
      <c r="D50" s="13" t="n">
        <v>2.404488</v>
      </c>
      <c r="E50" s="14" t="n">
        <v>472</v>
      </c>
      <c r="F50" s="10" t="n">
        <f aca="false">E50/'Correction factors'!$B$10</f>
        <v>38.0668</v>
      </c>
      <c r="G50" s="11" t="n">
        <v>509</v>
      </c>
    </row>
    <row r="51" customFormat="false" ht="15" hidden="false" customHeight="false" outlineLevel="0" collapsed="false">
      <c r="A51" s="10" t="n">
        <v>11.7273104190826</v>
      </c>
      <c r="B51" s="11" t="n">
        <v>0</v>
      </c>
      <c r="C51" s="12" t="n">
        <f aca="false">B51*'Correction factors'!$B$7</f>
        <v>0</v>
      </c>
      <c r="D51" s="13" t="n">
        <v>2.473239</v>
      </c>
      <c r="E51" s="14" t="n">
        <v>488</v>
      </c>
      <c r="F51" s="10" t="n">
        <f aca="false">E51/'Correction factors'!$B$10</f>
        <v>39.3572</v>
      </c>
      <c r="G51" s="11" t="n">
        <v>509</v>
      </c>
    </row>
    <row r="52" customFormat="false" ht="15" hidden="false" customHeight="false" outlineLevel="0" collapsed="false">
      <c r="A52" s="10" t="n">
        <v>11.7273104190826</v>
      </c>
      <c r="B52" s="11" t="n">
        <v>0</v>
      </c>
      <c r="C52" s="12" t="n">
        <f aca="false">B52*'Correction factors'!$B$7</f>
        <v>0</v>
      </c>
      <c r="D52" s="13" t="n">
        <v>2.522347</v>
      </c>
      <c r="E52" s="14" t="n">
        <v>504</v>
      </c>
      <c r="F52" s="10" t="n">
        <f aca="false">E52/'Correction factors'!$B$10</f>
        <v>40.6476</v>
      </c>
      <c r="G52" s="11" t="n">
        <v>509</v>
      </c>
    </row>
    <row r="53" customFormat="false" ht="15" hidden="false" customHeight="false" outlineLevel="0" collapsed="false">
      <c r="A53" s="10" t="n">
        <v>12.1527945995331</v>
      </c>
      <c r="B53" s="11" t="n">
        <v>80</v>
      </c>
      <c r="C53" s="12" t="n">
        <f aca="false">B53*'Correction factors'!$B$7</f>
        <v>387.12</v>
      </c>
      <c r="D53" s="13" t="n">
        <v>2.571455</v>
      </c>
      <c r="E53" s="14" t="n">
        <v>504</v>
      </c>
      <c r="F53" s="10" t="n">
        <f aca="false">E53/'Correction factors'!$B$10</f>
        <v>40.6476</v>
      </c>
      <c r="G53" s="11" t="n">
        <v>509</v>
      </c>
    </row>
    <row r="54" customFormat="false" ht="15" hidden="false" customHeight="false" outlineLevel="0" collapsed="false">
      <c r="A54" s="10" t="n">
        <v>12.1527945995331</v>
      </c>
      <c r="B54" s="11" t="n">
        <v>560</v>
      </c>
      <c r="C54" s="12" t="n">
        <f aca="false">B54*'Correction factors'!$B$7</f>
        <v>2709.84</v>
      </c>
      <c r="D54" s="13" t="n">
        <v>2.610742</v>
      </c>
      <c r="E54" s="14" t="n">
        <v>520</v>
      </c>
      <c r="F54" s="10" t="n">
        <f aca="false">E54/'Correction factors'!$B$10</f>
        <v>41.938</v>
      </c>
      <c r="G54" s="11" t="n">
        <v>507</v>
      </c>
    </row>
    <row r="55" customFormat="false" ht="15" hidden="false" customHeight="false" outlineLevel="0" collapsed="false">
      <c r="A55" s="10" t="n">
        <v>12.6028649806976</v>
      </c>
      <c r="B55" s="11" t="n">
        <v>620</v>
      </c>
      <c r="C55" s="12" t="n">
        <f aca="false">B55*'Correction factors'!$B$7</f>
        <v>3000.18</v>
      </c>
      <c r="D55" s="13" t="n">
        <v>2.650028</v>
      </c>
      <c r="E55" s="14" t="n">
        <v>528</v>
      </c>
      <c r="F55" s="10" t="n">
        <f aca="false">E55/'Correction factors'!$B$10</f>
        <v>42.5832</v>
      </c>
      <c r="G55" s="11" t="n">
        <v>450</v>
      </c>
    </row>
    <row r="56" customFormat="false" ht="15" hidden="false" customHeight="false" outlineLevel="0" collapsed="false">
      <c r="A56" s="10" t="n">
        <v>12.6028649806976</v>
      </c>
      <c r="B56" s="11" t="n">
        <v>620</v>
      </c>
      <c r="C56" s="12" t="n">
        <f aca="false">B56*'Correction factors'!$B$7</f>
        <v>3000.18</v>
      </c>
      <c r="D56" s="13" t="n">
        <v>2.738422</v>
      </c>
      <c r="E56" s="14" t="n">
        <v>496</v>
      </c>
      <c r="F56" s="10" t="n">
        <f aca="false">E56/'Correction factors'!$B$10</f>
        <v>40.0024</v>
      </c>
      <c r="G56" s="11" t="n">
        <v>440</v>
      </c>
    </row>
    <row r="57" customFormat="false" ht="15" hidden="false" customHeight="false" outlineLevel="0" collapsed="false">
      <c r="A57" s="10" t="n">
        <v>13.0515849590302</v>
      </c>
      <c r="B57" s="11" t="n">
        <v>600</v>
      </c>
      <c r="C57" s="12" t="n">
        <f aca="false">B57*'Correction factors'!$B$7</f>
        <v>2903.4</v>
      </c>
      <c r="D57" s="13" t="n">
        <v>2.807174</v>
      </c>
      <c r="E57" s="14" t="n">
        <v>456</v>
      </c>
      <c r="F57" s="10" t="n">
        <f aca="false">E57/'Correction factors'!$B$10</f>
        <v>36.7764</v>
      </c>
      <c r="G57" s="11" t="n">
        <v>418</v>
      </c>
    </row>
    <row r="58" customFormat="false" ht="15" hidden="false" customHeight="false" outlineLevel="0" collapsed="false">
      <c r="A58" s="10" t="n">
        <v>13.0515849590302</v>
      </c>
      <c r="B58" s="11" t="n">
        <v>560</v>
      </c>
      <c r="C58" s="12" t="n">
        <f aca="false">B58*'Correction factors'!$B$7</f>
        <v>2709.84</v>
      </c>
      <c r="D58" s="13" t="n">
        <v>2.934854</v>
      </c>
      <c r="E58" s="14" t="n">
        <v>416</v>
      </c>
      <c r="F58" s="10" t="n">
        <f aca="false">E58/'Correction factors'!$B$10</f>
        <v>33.5504</v>
      </c>
      <c r="G58" s="11" t="n">
        <v>414</v>
      </c>
    </row>
    <row r="59" customFormat="false" ht="15" hidden="false" customHeight="false" outlineLevel="0" collapsed="false">
      <c r="A59" s="10" t="n">
        <v>13.0515849590302</v>
      </c>
      <c r="B59" s="11" t="n">
        <v>560</v>
      </c>
      <c r="C59" s="12" t="n">
        <f aca="false">B59*'Correction factors'!$B$7</f>
        <v>2709.84</v>
      </c>
      <c r="D59" s="13" t="n">
        <v>3.003605</v>
      </c>
      <c r="E59" s="14" t="n">
        <v>392</v>
      </c>
      <c r="F59" s="10" t="n">
        <f aca="false">E59/'Correction factors'!$B$10</f>
        <v>31.6148</v>
      </c>
      <c r="G59" s="11" t="n">
        <v>401</v>
      </c>
    </row>
    <row r="60" customFormat="false" ht="15" hidden="false" customHeight="false" outlineLevel="0" collapsed="false">
      <c r="A60" s="10" t="n">
        <v>13.5542228221893</v>
      </c>
      <c r="B60" s="11" t="n">
        <v>480</v>
      </c>
      <c r="C60" s="12" t="n">
        <f aca="false">B60*'Correction factors'!$B$7</f>
        <v>2322.72</v>
      </c>
      <c r="D60" s="13" t="n">
        <v>3.170573</v>
      </c>
      <c r="E60" s="14" t="n">
        <v>368</v>
      </c>
      <c r="F60" s="10" t="n">
        <f aca="false">E60/'Correction factors'!$B$10</f>
        <v>29.6792</v>
      </c>
      <c r="G60" s="11" t="n">
        <v>391</v>
      </c>
    </row>
    <row r="61" customFormat="false" ht="15" hidden="false" customHeight="false" outlineLevel="0" collapsed="false">
      <c r="A61" s="10" t="n">
        <v>13.5542228221893</v>
      </c>
      <c r="B61" s="11" t="n">
        <v>480</v>
      </c>
      <c r="C61" s="12" t="n">
        <f aca="false">B61*'Correction factors'!$B$7</f>
        <v>2322.72</v>
      </c>
      <c r="D61" s="13" t="n">
        <v>3.268789</v>
      </c>
      <c r="E61" s="14" t="n">
        <v>320</v>
      </c>
      <c r="F61" s="10" t="n">
        <f aca="false">E61/'Correction factors'!$B$10</f>
        <v>25.808</v>
      </c>
      <c r="G61" s="11" t="n">
        <v>393</v>
      </c>
    </row>
    <row r="62" customFormat="false" ht="15" hidden="false" customHeight="false" outlineLevel="0" collapsed="false">
      <c r="A62" s="10" t="n">
        <v>13.999751329422</v>
      </c>
      <c r="B62" s="11" t="n">
        <v>480</v>
      </c>
      <c r="C62" s="12" t="n">
        <f aca="false">B62*'Correction factors'!$B$7</f>
        <v>2322.72</v>
      </c>
      <c r="D62" s="13" t="n">
        <v>3.357183</v>
      </c>
      <c r="E62" s="14" t="n">
        <v>320</v>
      </c>
      <c r="F62" s="10" t="n">
        <f aca="false">E62/'Correction factors'!$B$10</f>
        <v>25.808</v>
      </c>
      <c r="G62" s="11" t="n">
        <v>389</v>
      </c>
    </row>
    <row r="63" customFormat="false" ht="15" hidden="false" customHeight="false" outlineLevel="0" collapsed="false">
      <c r="A63" s="10" t="n">
        <v>13.999751329422</v>
      </c>
      <c r="B63" s="11" t="n">
        <v>460</v>
      </c>
      <c r="C63" s="12" t="n">
        <f aca="false">B63*'Correction factors'!$B$7</f>
        <v>2225.94</v>
      </c>
      <c r="D63" s="13" t="n">
        <v>3.425934</v>
      </c>
      <c r="E63" s="14" t="n">
        <v>320</v>
      </c>
      <c r="F63" s="10" t="n">
        <f aca="false">E63/'Correction factors'!$B$10</f>
        <v>25.808</v>
      </c>
      <c r="G63" s="11" t="n">
        <v>385</v>
      </c>
    </row>
    <row r="64" customFormat="false" ht="15" hidden="false" customHeight="false" outlineLevel="0" collapsed="false">
      <c r="A64" s="10" t="n">
        <v>14.4493119716644</v>
      </c>
      <c r="B64" s="11" t="n">
        <v>480</v>
      </c>
      <c r="C64" s="12" t="n">
        <f aca="false">B64*'Correction factors'!$B$7</f>
        <v>2322.72</v>
      </c>
      <c r="D64" s="13" t="n">
        <v>3.563436</v>
      </c>
      <c r="E64" s="14" t="n">
        <v>312</v>
      </c>
      <c r="F64" s="10" t="n">
        <f aca="false">E64/'Correction factors'!$B$10</f>
        <v>25.1628</v>
      </c>
      <c r="G64" s="11" t="n">
        <v>374</v>
      </c>
    </row>
    <row r="65" customFormat="false" ht="15" hidden="false" customHeight="false" outlineLevel="0" collapsed="false">
      <c r="A65" s="10" t="n">
        <v>14.4493119716644</v>
      </c>
      <c r="B65" s="11" t="n">
        <v>380</v>
      </c>
      <c r="C65" s="12" t="n">
        <f aca="false">B65*'Correction factors'!$B$7</f>
        <v>1838.82</v>
      </c>
      <c r="D65" s="13" t="n">
        <v>3.681296</v>
      </c>
      <c r="E65" s="14" t="n">
        <v>272</v>
      </c>
      <c r="F65" s="10" t="n">
        <f aca="false">E65/'Correction factors'!$B$10</f>
        <v>21.9368</v>
      </c>
      <c r="G65" s="11" t="n">
        <v>371</v>
      </c>
    </row>
    <row r="66" customFormat="false" ht="15" hidden="false" customHeight="false" outlineLevel="0" collapsed="false">
      <c r="A66" s="10" t="n">
        <v>14.9164333343506</v>
      </c>
      <c r="B66" s="11" t="n">
        <v>400</v>
      </c>
      <c r="C66" s="12" t="n">
        <f aca="false">B66*'Correction factors'!$B$7</f>
        <v>1935.6</v>
      </c>
      <c r="D66" s="13" t="n">
        <v>3.799155</v>
      </c>
      <c r="E66" s="14" t="n">
        <v>256</v>
      </c>
      <c r="F66" s="10" t="n">
        <f aca="false">E66/'Correction factors'!$B$10</f>
        <v>20.6464</v>
      </c>
      <c r="G66" s="11" t="n">
        <v>372</v>
      </c>
    </row>
    <row r="67" customFormat="false" ht="15" hidden="false" customHeight="false" outlineLevel="0" collapsed="false">
      <c r="A67" s="10" t="n">
        <v>14.9164333343506</v>
      </c>
      <c r="B67" s="11" t="n">
        <v>360</v>
      </c>
      <c r="C67" s="12" t="n">
        <f aca="false">B67*'Correction factors'!$B$7</f>
        <v>1742.04</v>
      </c>
      <c r="D67" s="13" t="n">
        <v>3.887549</v>
      </c>
      <c r="E67" s="14" t="n">
        <v>240</v>
      </c>
      <c r="F67" s="10" t="n">
        <f aca="false">E67/'Correction factors'!$B$10</f>
        <v>19.356</v>
      </c>
      <c r="G67" s="11" t="n">
        <v>368</v>
      </c>
    </row>
    <row r="68" customFormat="false" ht="15" hidden="false" customHeight="false" outlineLevel="0" collapsed="false">
      <c r="A68" s="10" t="n">
        <v>14.9164333343506</v>
      </c>
      <c r="B68" s="11" t="n">
        <v>400</v>
      </c>
      <c r="C68" s="12" t="n">
        <f aca="false">B68*'Correction factors'!$B$7</f>
        <v>1935.6</v>
      </c>
      <c r="D68" s="13" t="n">
        <v>3.985765</v>
      </c>
      <c r="E68" s="14" t="n">
        <v>240</v>
      </c>
      <c r="F68" s="10" t="n">
        <f aca="false">E68/'Correction factors'!$B$10</f>
        <v>19.356</v>
      </c>
      <c r="G68" s="11" t="n">
        <v>363</v>
      </c>
    </row>
    <row r="69" customFormat="false" ht="15" hidden="false" customHeight="false" outlineLevel="0" collapsed="false">
      <c r="A69" s="10" t="n">
        <v>15.4388427734375</v>
      </c>
      <c r="B69" s="11" t="n">
        <v>360</v>
      </c>
      <c r="C69" s="12" t="n">
        <f aca="false">B69*'Correction factors'!$B$7</f>
        <v>1742.04</v>
      </c>
      <c r="D69" s="13" t="n">
        <v>4.172375</v>
      </c>
      <c r="E69" s="14" t="n">
        <v>200</v>
      </c>
      <c r="F69" s="10" t="n">
        <f aca="false">E69/'Correction factors'!$B$10</f>
        <v>16.13</v>
      </c>
      <c r="G69" s="11" t="n">
        <v>354</v>
      </c>
    </row>
    <row r="70" customFormat="false" ht="15" hidden="false" customHeight="false" outlineLevel="0" collapsed="false">
      <c r="A70" s="10" t="n">
        <v>15.4388427734375</v>
      </c>
      <c r="B70" s="11" t="n">
        <v>300</v>
      </c>
      <c r="C70" s="12" t="n">
        <f aca="false">B70*'Correction factors'!$B$7</f>
        <v>1451.7</v>
      </c>
      <c r="D70" s="13" t="n">
        <v>4.319699</v>
      </c>
      <c r="E70" s="14" t="n">
        <v>104</v>
      </c>
      <c r="F70" s="10" t="n">
        <f aca="false">E70/'Correction factors'!$B$10</f>
        <v>8.3876</v>
      </c>
      <c r="G70" s="11" t="n">
        <v>354</v>
      </c>
    </row>
    <row r="71" customFormat="false" ht="15" hidden="false" customHeight="false" outlineLevel="0" collapsed="false">
      <c r="A71" s="10" t="n">
        <v>15.9458129405975</v>
      </c>
      <c r="B71" s="11" t="n">
        <v>300</v>
      </c>
      <c r="C71" s="12" t="n">
        <f aca="false">B71*'Correction factors'!$B$7</f>
        <v>1451.7</v>
      </c>
      <c r="D71" s="13" t="n">
        <v>4.427737</v>
      </c>
      <c r="E71" s="14" t="n">
        <v>88</v>
      </c>
      <c r="F71" s="10" t="n">
        <f aca="false">E71/'Correction factors'!$B$10</f>
        <v>7.0972</v>
      </c>
      <c r="G71" s="11" t="n">
        <v>359</v>
      </c>
    </row>
    <row r="72" customFormat="false" ht="15" hidden="false" customHeight="false" outlineLevel="0" collapsed="false">
      <c r="A72" s="10" t="n">
        <v>15.9458129405975</v>
      </c>
      <c r="B72" s="11" t="n">
        <v>320</v>
      </c>
      <c r="C72" s="12" t="n">
        <f aca="false">B72*'Correction factors'!$B$7</f>
        <v>1548.48</v>
      </c>
      <c r="D72" s="13" t="n">
        <v>4.535774</v>
      </c>
      <c r="E72" s="14" t="n">
        <v>96</v>
      </c>
      <c r="F72" s="10" t="n">
        <f aca="false">E72/'Correction factors'!$B$10</f>
        <v>7.7424</v>
      </c>
      <c r="G72" s="11" t="n">
        <v>357</v>
      </c>
    </row>
    <row r="73" customFormat="false" ht="15" hidden="false" customHeight="false" outlineLevel="0" collapsed="false">
      <c r="A73" s="10" t="n">
        <v>15.9458129405975</v>
      </c>
      <c r="B73" s="11" t="n">
        <v>340</v>
      </c>
      <c r="C73" s="12" t="n">
        <f aca="false">B73*'Correction factors'!$B$7</f>
        <v>1645.26</v>
      </c>
      <c r="D73" s="13" t="n">
        <v>4.624168</v>
      </c>
      <c r="E73" s="14" t="n">
        <v>96</v>
      </c>
      <c r="F73" s="10" t="n">
        <f aca="false">E73/'Correction factors'!$B$10</f>
        <v>7.7424</v>
      </c>
      <c r="G73" s="11" t="n">
        <v>350</v>
      </c>
    </row>
    <row r="74" customFormat="false" ht="15" hidden="false" customHeight="false" outlineLevel="0" collapsed="false">
      <c r="A74" s="10" t="n">
        <v>16.4647154808044</v>
      </c>
      <c r="B74" s="11" t="n">
        <v>320</v>
      </c>
      <c r="C74" s="12" t="n">
        <f aca="false">B74*'Correction factors'!$B$7</f>
        <v>1548.48</v>
      </c>
      <c r="D74" s="13" t="n">
        <v>4.771492</v>
      </c>
      <c r="E74" s="14" t="n">
        <v>88</v>
      </c>
      <c r="F74" s="10" t="n">
        <f aca="false">E74/'Correction factors'!$B$10</f>
        <v>7.0972</v>
      </c>
      <c r="G74" s="11" t="n">
        <v>343</v>
      </c>
    </row>
    <row r="75" customFormat="false" ht="15" hidden="false" customHeight="false" outlineLevel="0" collapsed="false">
      <c r="A75" s="10" t="n">
        <v>16.4647154808044</v>
      </c>
      <c r="B75" s="11" t="n">
        <v>260</v>
      </c>
      <c r="C75" s="12" t="n">
        <f aca="false">B75*'Correction factors'!$B$7</f>
        <v>1258.14</v>
      </c>
      <c r="D75" s="13" t="n">
        <v>4.87953</v>
      </c>
      <c r="E75" s="14" t="n">
        <v>72</v>
      </c>
      <c r="F75" s="10" t="n">
        <f aca="false">E75/'Correction factors'!$B$10</f>
        <v>5.8068</v>
      </c>
      <c r="G75" s="11" t="n">
        <v>343</v>
      </c>
    </row>
    <row r="76" customFormat="false" ht="15" hidden="false" customHeight="false" outlineLevel="0" collapsed="false">
      <c r="A76" s="10" t="n">
        <v>16.9320497512817</v>
      </c>
      <c r="B76" s="11" t="n">
        <v>260</v>
      </c>
      <c r="C76" s="12" t="n">
        <f aca="false">B76*'Correction factors'!$B$7</f>
        <v>1258.14</v>
      </c>
      <c r="D76" s="13" t="n">
        <v>4.997389</v>
      </c>
      <c r="E76" s="14" t="n">
        <v>72</v>
      </c>
      <c r="F76" s="10" t="n">
        <f aca="false">E76/'Correction factors'!$B$10</f>
        <v>5.8068</v>
      </c>
      <c r="G76" s="11" t="n">
        <v>348</v>
      </c>
    </row>
    <row r="77" customFormat="false" ht="15" hidden="false" customHeight="false" outlineLevel="0" collapsed="false">
      <c r="A77" s="10" t="n">
        <v>16.9320497512817</v>
      </c>
      <c r="B77" s="11" t="n">
        <v>300</v>
      </c>
      <c r="C77" s="12" t="n">
        <f aca="false">B77*'Correction factors'!$B$7</f>
        <v>1451.7</v>
      </c>
      <c r="D77" s="13" t="n">
        <v>5.06614</v>
      </c>
      <c r="E77" s="14" t="n">
        <v>72</v>
      </c>
      <c r="F77" s="10" t="n">
        <f aca="false">E77/'Correction factors'!$B$10</f>
        <v>5.8068</v>
      </c>
      <c r="G77" s="11" t="n">
        <v>347</v>
      </c>
    </row>
    <row r="78" customFormat="false" ht="15" hidden="false" customHeight="false" outlineLevel="0" collapsed="false">
      <c r="A78" s="10" t="n">
        <v>17.3967545032501</v>
      </c>
      <c r="B78" s="11" t="n">
        <v>300</v>
      </c>
      <c r="C78" s="12" t="n">
        <f aca="false">B78*'Correction factors'!$B$7</f>
        <v>1451.7</v>
      </c>
      <c r="D78" s="13" t="n">
        <v>5.154535</v>
      </c>
      <c r="E78" s="14" t="n">
        <v>72</v>
      </c>
      <c r="F78" s="10" t="n">
        <f aca="false">E78/'Correction factors'!$B$10</f>
        <v>5.8068</v>
      </c>
      <c r="G78" s="11" t="n">
        <v>337</v>
      </c>
    </row>
    <row r="79" customFormat="false" ht="15" hidden="false" customHeight="false" outlineLevel="0" collapsed="false">
      <c r="A79" s="10" t="n">
        <v>17.3967545032501</v>
      </c>
      <c r="B79" s="11" t="n">
        <v>260</v>
      </c>
      <c r="C79" s="12" t="n">
        <f aca="false">B79*'Correction factors'!$B$7</f>
        <v>1258.14</v>
      </c>
      <c r="D79" s="13" t="n">
        <v>5.272394</v>
      </c>
      <c r="E79" s="14" t="n">
        <v>64</v>
      </c>
      <c r="F79" s="10" t="n">
        <f aca="false">E79/'Correction factors'!$B$10</f>
        <v>5.1616</v>
      </c>
      <c r="G79" s="11" t="n">
        <v>339</v>
      </c>
    </row>
    <row r="80" customFormat="false" ht="15" hidden="false" customHeight="false" outlineLevel="0" collapsed="false">
      <c r="A80" s="10" t="n">
        <v>17.3967545032501</v>
      </c>
      <c r="B80" s="11" t="n">
        <v>260</v>
      </c>
      <c r="C80" s="12" t="n">
        <f aca="false">B80*'Correction factors'!$B$7</f>
        <v>1258.14</v>
      </c>
      <c r="D80" s="13" t="n">
        <v>5.350966</v>
      </c>
      <c r="E80" s="14" t="n">
        <v>64</v>
      </c>
      <c r="F80" s="10" t="n">
        <f aca="false">E80/'Correction factors'!$B$10</f>
        <v>5.1616</v>
      </c>
      <c r="G80" s="11" t="n">
        <v>339</v>
      </c>
    </row>
    <row r="81" customFormat="false" ht="15" hidden="false" customHeight="false" outlineLevel="0" collapsed="false">
      <c r="A81" s="10" t="n">
        <v>17.9332301616669</v>
      </c>
      <c r="B81" s="11" t="n">
        <v>260</v>
      </c>
      <c r="C81" s="12" t="n">
        <f aca="false">B81*'Correction factors'!$B$7</f>
        <v>1258.14</v>
      </c>
      <c r="D81" s="13" t="n">
        <v>5.429539</v>
      </c>
      <c r="E81" s="14" t="n">
        <v>64</v>
      </c>
      <c r="F81" s="10" t="n">
        <f aca="false">E81/'Correction factors'!$B$10</f>
        <v>5.1616</v>
      </c>
      <c r="G81" s="11" t="n">
        <v>339</v>
      </c>
    </row>
    <row r="82" customFormat="false" ht="15" hidden="false" customHeight="false" outlineLevel="0" collapsed="false">
      <c r="A82" s="10" t="n">
        <v>17.9332301616669</v>
      </c>
      <c r="B82" s="11" t="n">
        <v>260</v>
      </c>
      <c r="C82" s="12" t="n">
        <f aca="false">B82*'Correction factors'!$B$7</f>
        <v>1258.14</v>
      </c>
      <c r="D82" s="13" t="n">
        <v>5.498291</v>
      </c>
      <c r="E82" s="14" t="n">
        <v>72</v>
      </c>
      <c r="F82" s="10" t="n">
        <f aca="false">E82/'Correction factors'!$B$10</f>
        <v>5.8068</v>
      </c>
      <c r="G82" s="11" t="n">
        <v>337</v>
      </c>
    </row>
    <row r="83" customFormat="false" ht="15" hidden="false" customHeight="false" outlineLevel="0" collapsed="false">
      <c r="A83" s="10" t="n">
        <v>18.4206430912018</v>
      </c>
      <c r="B83" s="11" t="n">
        <v>260</v>
      </c>
      <c r="C83" s="12" t="n">
        <f aca="false">B83*'Correction factors'!$B$7</f>
        <v>1258.14</v>
      </c>
      <c r="D83" s="13" t="n">
        <v>5.567041</v>
      </c>
      <c r="E83" s="14" t="n">
        <v>64</v>
      </c>
      <c r="F83" s="10" t="n">
        <f aca="false">E83/'Correction factors'!$B$10</f>
        <v>5.1616</v>
      </c>
      <c r="G83" s="11" t="n">
        <v>335</v>
      </c>
    </row>
    <row r="84" customFormat="false" ht="15" hidden="false" customHeight="false" outlineLevel="0" collapsed="false">
      <c r="A84" s="10" t="n">
        <v>18.4206430912018</v>
      </c>
      <c r="B84" s="11" t="n">
        <v>260</v>
      </c>
      <c r="C84" s="12" t="n">
        <f aca="false">B84*'Correction factors'!$B$7</f>
        <v>1258.14</v>
      </c>
      <c r="D84" s="13" t="n">
        <v>5.625971</v>
      </c>
      <c r="E84" s="14" t="n">
        <v>64</v>
      </c>
      <c r="F84" s="10" t="n">
        <f aca="false">E84/'Correction factors'!$B$10</f>
        <v>5.1616</v>
      </c>
      <c r="G84" s="11" t="n">
        <v>335</v>
      </c>
    </row>
    <row r="85" customFormat="false" ht="15" hidden="false" customHeight="false" outlineLevel="0" collapsed="false">
      <c r="A85" s="10" t="n">
        <v>18.89018201828</v>
      </c>
      <c r="B85" s="11" t="n">
        <v>260</v>
      </c>
      <c r="C85" s="12" t="n">
        <f aca="false">B85*'Correction factors'!$B$7</f>
        <v>1258.14</v>
      </c>
      <c r="D85" s="13" t="n">
        <v>5.684901</v>
      </c>
      <c r="E85" s="14" t="n">
        <v>64</v>
      </c>
      <c r="F85" s="10" t="n">
        <f aca="false">E85/'Correction factors'!$B$10</f>
        <v>5.1616</v>
      </c>
      <c r="G85" s="11" t="n">
        <v>333</v>
      </c>
    </row>
    <row r="86" customFormat="false" ht="15" hidden="false" customHeight="false" outlineLevel="0" collapsed="false">
      <c r="A86" s="10" t="n">
        <v>18.89018201828</v>
      </c>
      <c r="B86" s="11" t="n">
        <v>240</v>
      </c>
      <c r="C86" s="12" t="n">
        <f aca="false">B86*'Correction factors'!$B$7</f>
        <v>1161.36</v>
      </c>
      <c r="D86" s="13" t="n">
        <v>5.734009</v>
      </c>
      <c r="E86" s="14" t="n">
        <v>64</v>
      </c>
      <c r="F86" s="10" t="n">
        <f aca="false">E86/'Correction factors'!$B$10</f>
        <v>5.1616</v>
      </c>
      <c r="G86" s="11" t="n">
        <v>333</v>
      </c>
    </row>
    <row r="87" customFormat="false" ht="15" hidden="false" customHeight="false" outlineLevel="0" collapsed="false">
      <c r="A87" s="10" t="n">
        <v>18.89018201828</v>
      </c>
      <c r="B87" s="11" t="n">
        <v>220</v>
      </c>
      <c r="C87" s="12" t="n">
        <f aca="false">B87*'Correction factors'!$B$7</f>
        <v>1064.58</v>
      </c>
      <c r="D87" s="13" t="n">
        <v>5.783116</v>
      </c>
      <c r="E87" s="14" t="n">
        <v>56</v>
      </c>
      <c r="F87" s="10" t="n">
        <f aca="false">E87/'Correction factors'!$B$10</f>
        <v>4.5164</v>
      </c>
      <c r="G87" s="11" t="n">
        <v>333</v>
      </c>
    </row>
    <row r="88" customFormat="false" ht="15" hidden="false" customHeight="false" outlineLevel="0" collapsed="false">
      <c r="A88" s="10" t="n">
        <v>19.4048590660095</v>
      </c>
      <c r="B88" s="11" t="n">
        <v>240</v>
      </c>
      <c r="C88" s="12" t="n">
        <f aca="false">B88*'Correction factors'!$B$7</f>
        <v>1161.36</v>
      </c>
      <c r="D88" s="13" t="n">
        <v>5.842046</v>
      </c>
      <c r="E88" s="14" t="n">
        <v>56</v>
      </c>
      <c r="F88" s="10" t="n">
        <f aca="false">E88/'Correction factors'!$B$10</f>
        <v>4.5164</v>
      </c>
      <c r="G88" s="11" t="n">
        <v>333</v>
      </c>
    </row>
    <row r="89" customFormat="false" ht="15" hidden="false" customHeight="false" outlineLevel="0" collapsed="false">
      <c r="A89" s="10" t="n">
        <v>19.4048590660095</v>
      </c>
      <c r="B89" s="11" t="n">
        <v>240</v>
      </c>
      <c r="C89" s="12" t="n">
        <f aca="false">B89*'Correction factors'!$B$7</f>
        <v>1161.36</v>
      </c>
      <c r="D89" s="13" t="n">
        <v>5.881333</v>
      </c>
      <c r="E89" s="14" t="n">
        <v>48</v>
      </c>
      <c r="F89" s="10" t="n">
        <f aca="false">E89/'Correction factors'!$B$10</f>
        <v>3.8712</v>
      </c>
      <c r="G89" s="11" t="n">
        <v>331</v>
      </c>
    </row>
    <row r="90" customFormat="false" ht="15" hidden="false" customHeight="false" outlineLevel="0" collapsed="false">
      <c r="A90" s="10" t="n">
        <v>19.9178035259247</v>
      </c>
      <c r="B90" s="11" t="n">
        <v>240</v>
      </c>
      <c r="C90" s="12" t="n">
        <f aca="false">B90*'Correction factors'!$B$7</f>
        <v>1161.36</v>
      </c>
      <c r="D90" s="13" t="n">
        <v>5.92062</v>
      </c>
      <c r="E90" s="14" t="n">
        <v>56</v>
      </c>
      <c r="F90" s="10" t="n">
        <f aca="false">E90/'Correction factors'!$B$10</f>
        <v>4.5164</v>
      </c>
      <c r="G90" s="11" t="n">
        <v>327</v>
      </c>
    </row>
    <row r="91" customFormat="false" ht="15" hidden="false" customHeight="false" outlineLevel="0" collapsed="false">
      <c r="A91" s="10" t="n">
        <v>19.9178035259247</v>
      </c>
      <c r="B91" s="11" t="n">
        <v>200</v>
      </c>
      <c r="C91" s="12" t="n">
        <f aca="false">B91*'Correction factors'!$B$7</f>
        <v>967.8</v>
      </c>
      <c r="D91" s="13" t="n">
        <v>5.98937</v>
      </c>
      <c r="E91" s="14" t="n">
        <v>48</v>
      </c>
      <c r="F91" s="10" t="n">
        <f aca="false">E91/'Correction factors'!$B$10</f>
        <v>3.8712</v>
      </c>
      <c r="G91" s="11" t="n">
        <v>327</v>
      </c>
    </row>
    <row r="92" customFormat="false" ht="15" hidden="false" customHeight="false" outlineLevel="0" collapsed="false">
      <c r="A92" s="10" t="n">
        <v>19.9178035259247</v>
      </c>
      <c r="B92" s="11" t="n">
        <v>180</v>
      </c>
      <c r="C92" s="12" t="n">
        <f aca="false">B92*'Correction factors'!$B$7</f>
        <v>871.02</v>
      </c>
      <c r="D92" s="13" t="n">
        <v>6.028656</v>
      </c>
      <c r="E92" s="14" t="n">
        <v>48</v>
      </c>
      <c r="F92" s="10" t="n">
        <f aca="false">E92/'Correction factors'!$B$10</f>
        <v>3.8712</v>
      </c>
      <c r="G92" s="11" t="n">
        <v>331</v>
      </c>
    </row>
    <row r="93" customFormat="false" ht="15" hidden="false" customHeight="false" outlineLevel="0" collapsed="false">
      <c r="A93" s="10" t="n">
        <v>20.4098091125488</v>
      </c>
      <c r="B93" s="11" t="n">
        <v>180</v>
      </c>
      <c r="C93" s="12" t="n">
        <f aca="false">B93*'Correction factors'!$B$7</f>
        <v>871.02</v>
      </c>
      <c r="D93" s="13" t="n">
        <v>6.058122</v>
      </c>
      <c r="E93" s="14" t="n">
        <v>48</v>
      </c>
      <c r="F93" s="10" t="n">
        <f aca="false">E93/'Correction factors'!$B$10</f>
        <v>3.8712</v>
      </c>
      <c r="G93" s="11" t="n">
        <v>333</v>
      </c>
    </row>
    <row r="94" customFormat="false" ht="15" hidden="false" customHeight="false" outlineLevel="0" collapsed="false">
      <c r="A94" s="10" t="n">
        <v>20.4098091125488</v>
      </c>
      <c r="B94" s="11" t="n">
        <v>200</v>
      </c>
      <c r="C94" s="12" t="n">
        <f aca="false">B94*'Correction factors'!$B$7</f>
        <v>967.8</v>
      </c>
      <c r="D94" s="13" t="n">
        <v>6.067943</v>
      </c>
      <c r="E94" s="14" t="n">
        <v>48</v>
      </c>
      <c r="F94" s="10" t="n">
        <f aca="false">E94/'Correction factors'!$B$10</f>
        <v>3.8712</v>
      </c>
      <c r="G94" s="11" t="n">
        <v>334</v>
      </c>
    </row>
    <row r="95" customFormat="false" ht="15" hidden="false" customHeight="false" outlineLevel="0" collapsed="false">
      <c r="A95" s="10" t="n">
        <v>20.8630328178406</v>
      </c>
      <c r="B95" s="11" t="n">
        <v>200</v>
      </c>
      <c r="C95" s="12" t="n">
        <f aca="false">B95*'Correction factors'!$B$7</f>
        <v>967.8</v>
      </c>
      <c r="D95" s="13" t="n">
        <v>6.10723</v>
      </c>
      <c r="E95" s="14" t="n">
        <v>48</v>
      </c>
      <c r="F95" s="10" t="n">
        <f aca="false">E95/'Correction factors'!$B$10</f>
        <v>3.8712</v>
      </c>
      <c r="G95" s="11" t="n">
        <v>332</v>
      </c>
    </row>
    <row r="96" customFormat="false" ht="15" hidden="false" customHeight="false" outlineLevel="0" collapsed="false">
      <c r="A96" s="10" t="n">
        <v>20.8630328178406</v>
      </c>
      <c r="B96" s="11" t="n">
        <v>200</v>
      </c>
      <c r="C96" s="12" t="n">
        <f aca="false">B96*'Correction factors'!$B$7</f>
        <v>967.8</v>
      </c>
      <c r="D96" s="13" t="n">
        <v>6.117051</v>
      </c>
      <c r="E96" s="14" t="n">
        <v>48</v>
      </c>
      <c r="F96" s="10" t="n">
        <f aca="false">E96/'Correction factors'!$B$10</f>
        <v>3.8712</v>
      </c>
      <c r="G96" s="11" t="n">
        <v>332</v>
      </c>
    </row>
    <row r="97" customFormat="false" ht="15" hidden="false" customHeight="false" outlineLevel="0" collapsed="false">
      <c r="A97" s="10" t="n">
        <v>21.3077039718628</v>
      </c>
      <c r="B97" s="11" t="n">
        <v>220</v>
      </c>
      <c r="C97" s="12" t="n">
        <f aca="false">B97*'Correction factors'!$B$7</f>
        <v>1064.58</v>
      </c>
      <c r="D97" s="13" t="n">
        <v>6.136694</v>
      </c>
      <c r="E97" s="14" t="n">
        <v>48</v>
      </c>
      <c r="F97" s="10" t="n">
        <f aca="false">E97/'Correction factors'!$B$10</f>
        <v>3.8712</v>
      </c>
      <c r="G97" s="11" t="n">
        <v>333</v>
      </c>
    </row>
    <row r="98" customFormat="false" ht="15" hidden="false" customHeight="false" outlineLevel="0" collapsed="false">
      <c r="A98" s="10" t="n">
        <v>21.3077039718628</v>
      </c>
      <c r="B98" s="11" t="n">
        <v>220</v>
      </c>
      <c r="C98" s="12" t="n">
        <f aca="false">B98*'Correction factors'!$B$7</f>
        <v>1064.58</v>
      </c>
      <c r="D98" s="13" t="n">
        <v>6.136694</v>
      </c>
      <c r="E98" s="14" t="n">
        <v>56</v>
      </c>
      <c r="F98" s="10" t="n">
        <f aca="false">E98/'Correction factors'!$B$10</f>
        <v>4.5164</v>
      </c>
      <c r="G98" s="11" t="n">
        <v>331</v>
      </c>
    </row>
    <row r="99" customFormat="false" ht="15" hidden="false" customHeight="false" outlineLevel="0" collapsed="false">
      <c r="A99" s="10" t="n">
        <v>21.7612111568451</v>
      </c>
      <c r="B99" s="11" t="n">
        <v>220</v>
      </c>
      <c r="C99" s="12" t="n">
        <f aca="false">B99*'Correction factors'!$B$7</f>
        <v>1064.58</v>
      </c>
      <c r="D99" s="13" t="n">
        <v>6.146516</v>
      </c>
      <c r="E99" s="14" t="n">
        <v>48</v>
      </c>
      <c r="F99" s="10" t="n">
        <f aca="false">E99/'Correction factors'!$B$10</f>
        <v>3.8712</v>
      </c>
      <c r="G99" s="11" t="n">
        <v>329</v>
      </c>
    </row>
    <row r="100" customFormat="false" ht="15" hidden="false" customHeight="false" outlineLevel="0" collapsed="false">
      <c r="A100" s="10" t="n">
        <v>21.7612111568451</v>
      </c>
      <c r="B100" s="11" t="n">
        <v>220</v>
      </c>
      <c r="C100" s="12" t="n">
        <f aca="false">B100*'Correction factors'!$B$7</f>
        <v>1064.58</v>
      </c>
      <c r="D100" s="13" t="n">
        <v>6.136694</v>
      </c>
      <c r="E100" s="14" t="n">
        <v>48</v>
      </c>
      <c r="F100" s="10" t="n">
        <f aca="false">E100/'Correction factors'!$B$10</f>
        <v>3.8712</v>
      </c>
      <c r="G100" s="11" t="n">
        <v>329</v>
      </c>
    </row>
    <row r="101" customFormat="false" ht="15" hidden="false" customHeight="false" outlineLevel="0" collapsed="false">
      <c r="A101" s="10" t="n">
        <v>21.7612111568451</v>
      </c>
      <c r="B101" s="11" t="n">
        <v>200</v>
      </c>
      <c r="C101" s="12" t="n">
        <f aca="false">B101*'Correction factors'!$B$7</f>
        <v>967.8</v>
      </c>
      <c r="D101" s="13" t="n">
        <v>6.136694</v>
      </c>
      <c r="E101" s="14" t="n">
        <v>48</v>
      </c>
      <c r="F101" s="10" t="n">
        <f aca="false">E101/'Correction factors'!$B$10</f>
        <v>3.8712</v>
      </c>
      <c r="G101" s="11" t="n">
        <v>329</v>
      </c>
    </row>
    <row r="102" customFormat="false" ht="15" hidden="false" customHeight="false" outlineLevel="0" collapsed="false">
      <c r="A102" s="10" t="n">
        <v>22.2357392311096</v>
      </c>
      <c r="B102" s="11" t="n">
        <v>200</v>
      </c>
      <c r="C102" s="12" t="n">
        <f aca="false">B102*'Correction factors'!$B$7</f>
        <v>967.8</v>
      </c>
      <c r="D102" s="13" t="n">
        <v>6.136694</v>
      </c>
      <c r="E102" s="14" t="n">
        <v>48</v>
      </c>
      <c r="F102" s="10" t="n">
        <f aca="false">E102/'Correction factors'!$B$10</f>
        <v>3.8712</v>
      </c>
      <c r="G102" s="11" t="n">
        <v>332</v>
      </c>
    </row>
    <row r="103" customFormat="false" ht="15" hidden="false" customHeight="false" outlineLevel="0" collapsed="false">
      <c r="A103" s="10" t="n">
        <v>22.2357392311096</v>
      </c>
      <c r="B103" s="11" t="n">
        <v>200</v>
      </c>
      <c r="C103" s="12" t="n">
        <f aca="false">B103*'Correction factors'!$B$7</f>
        <v>967.8</v>
      </c>
      <c r="D103" s="13" t="n">
        <v>6.136694</v>
      </c>
      <c r="E103" s="14" t="n">
        <v>48</v>
      </c>
      <c r="F103" s="10" t="n">
        <f aca="false">E103/'Correction factors'!$B$10</f>
        <v>3.8712</v>
      </c>
      <c r="G103" s="11" t="n">
        <v>331</v>
      </c>
    </row>
    <row r="104" customFormat="false" ht="15" hidden="false" customHeight="false" outlineLevel="0" collapsed="false">
      <c r="A104" s="10" t="n">
        <v>22.6862599849701</v>
      </c>
      <c r="B104" s="11" t="n">
        <v>200</v>
      </c>
      <c r="C104" s="12" t="n">
        <f aca="false">B104*'Correction factors'!$B$7</f>
        <v>967.8</v>
      </c>
      <c r="D104" s="13" t="n">
        <v>6.126873</v>
      </c>
      <c r="E104" s="14" t="n">
        <v>56</v>
      </c>
      <c r="F104" s="10" t="n">
        <f aca="false">E104/'Correction factors'!$B$10</f>
        <v>4.5164</v>
      </c>
      <c r="G104" s="11" t="n">
        <v>332</v>
      </c>
    </row>
    <row r="105" customFormat="false" ht="15" hidden="false" customHeight="false" outlineLevel="0" collapsed="false">
      <c r="A105" s="10" t="n">
        <v>22.6862599849701</v>
      </c>
      <c r="B105" s="11" t="n">
        <v>200</v>
      </c>
      <c r="C105" s="12" t="n">
        <f aca="false">B105*'Correction factors'!$B$7</f>
        <v>967.8</v>
      </c>
      <c r="D105" s="13" t="n">
        <v>6.136694</v>
      </c>
      <c r="E105" s="14" t="n">
        <v>48</v>
      </c>
      <c r="F105" s="10" t="n">
        <f aca="false">E105/'Correction factors'!$B$10</f>
        <v>3.8712</v>
      </c>
      <c r="G105" s="11" t="n">
        <v>331</v>
      </c>
    </row>
    <row r="106" customFormat="false" ht="15" hidden="false" customHeight="false" outlineLevel="0" collapsed="false">
      <c r="A106" s="10" t="n">
        <v>23.1091918945313</v>
      </c>
      <c r="B106" s="11" t="n">
        <v>200</v>
      </c>
      <c r="C106" s="12" t="n">
        <f aca="false">B106*'Correction factors'!$B$7</f>
        <v>967.8</v>
      </c>
      <c r="D106" s="13" t="n">
        <v>6.117051</v>
      </c>
      <c r="E106" s="14" t="n">
        <v>48</v>
      </c>
      <c r="F106" s="10" t="n">
        <f aca="false">E106/'Correction factors'!$B$10</f>
        <v>3.8712</v>
      </c>
      <c r="G106" s="11" t="n">
        <v>332</v>
      </c>
    </row>
    <row r="107" customFormat="false" ht="15" hidden="false" customHeight="false" outlineLevel="0" collapsed="false">
      <c r="A107" s="10" t="n">
        <v>23.1091918945313</v>
      </c>
      <c r="B107" s="11" t="n">
        <v>180</v>
      </c>
      <c r="C107" s="12" t="n">
        <f aca="false">B107*'Correction factors'!$B$7</f>
        <v>871.02</v>
      </c>
      <c r="D107" s="13" t="n">
        <v>6.10723</v>
      </c>
      <c r="E107" s="14" t="n">
        <v>48</v>
      </c>
      <c r="F107" s="10" t="n">
        <f aca="false">E107/'Correction factors'!$B$10</f>
        <v>3.8712</v>
      </c>
      <c r="G107" s="11" t="n">
        <v>331</v>
      </c>
    </row>
    <row r="108" customFormat="false" ht="15" hidden="false" customHeight="false" outlineLevel="0" collapsed="false">
      <c r="A108" s="10" t="n">
        <v>23.5250205993652</v>
      </c>
      <c r="B108" s="11" t="n">
        <v>200</v>
      </c>
      <c r="C108" s="12" t="n">
        <f aca="false">B108*'Correction factors'!$B$7</f>
        <v>967.8</v>
      </c>
      <c r="D108" s="13" t="n">
        <v>6.087586</v>
      </c>
      <c r="E108" s="14" t="n">
        <v>48</v>
      </c>
      <c r="F108" s="10" t="n">
        <f aca="false">E108/'Correction factors'!$B$10</f>
        <v>3.8712</v>
      </c>
      <c r="G108" s="11" t="n">
        <v>333</v>
      </c>
    </row>
    <row r="109" customFormat="false" ht="15" hidden="false" customHeight="false" outlineLevel="0" collapsed="false">
      <c r="A109" s="10" t="n">
        <v>23.5250205993652</v>
      </c>
      <c r="B109" s="11" t="n">
        <v>200</v>
      </c>
      <c r="C109" s="12" t="n">
        <f aca="false">B109*'Correction factors'!$B$7</f>
        <v>967.8</v>
      </c>
      <c r="D109" s="13" t="n">
        <v>6.067943</v>
      </c>
      <c r="E109" s="14" t="n">
        <v>48</v>
      </c>
      <c r="F109" s="10" t="n">
        <f aca="false">E109/'Correction factors'!$B$10</f>
        <v>3.8712</v>
      </c>
      <c r="G109" s="11" t="n">
        <v>332</v>
      </c>
    </row>
    <row r="110" customFormat="false" ht="15" hidden="false" customHeight="false" outlineLevel="0" collapsed="false">
      <c r="A110" s="10" t="n">
        <v>23.9384181499481</v>
      </c>
      <c r="B110" s="11" t="n">
        <v>200</v>
      </c>
      <c r="C110" s="12" t="n">
        <f aca="false">B110*'Correction factors'!$B$7</f>
        <v>967.8</v>
      </c>
      <c r="D110" s="13" t="n">
        <v>6.067943</v>
      </c>
      <c r="E110" s="14" t="n">
        <v>56</v>
      </c>
      <c r="F110" s="10" t="n">
        <f aca="false">E110/'Correction factors'!$B$10</f>
        <v>4.5164</v>
      </c>
      <c r="G110" s="11" t="n">
        <v>331</v>
      </c>
    </row>
    <row r="111" customFormat="false" ht="15" hidden="false" customHeight="false" outlineLevel="0" collapsed="false">
      <c r="A111" s="10" t="n">
        <v>23.9384181499481</v>
      </c>
      <c r="B111" s="11" t="n">
        <v>180</v>
      </c>
      <c r="C111" s="12" t="n">
        <f aca="false">B111*'Correction factors'!$B$7</f>
        <v>871.02</v>
      </c>
      <c r="D111" s="13" t="n">
        <v>6.058122</v>
      </c>
      <c r="E111" s="14" t="n">
        <v>48</v>
      </c>
      <c r="F111" s="10" t="n">
        <f aca="false">E111/'Correction factors'!$B$10</f>
        <v>3.8712</v>
      </c>
      <c r="G111" s="11" t="n">
        <v>332</v>
      </c>
    </row>
    <row r="112" customFormat="false" ht="15" hidden="false" customHeight="false" outlineLevel="0" collapsed="false">
      <c r="A112" s="10" t="n">
        <v>24.3950521945953</v>
      </c>
      <c r="B112" s="11" t="n">
        <v>180</v>
      </c>
      <c r="C112" s="12" t="n">
        <f aca="false">B112*'Correction factors'!$B$7</f>
        <v>871.02</v>
      </c>
      <c r="D112" s="13" t="n">
        <v>6.038478</v>
      </c>
      <c r="E112" s="14" t="n">
        <v>48</v>
      </c>
      <c r="F112" s="10" t="n">
        <f aca="false">E112/'Correction factors'!$B$10</f>
        <v>3.8712</v>
      </c>
      <c r="G112" s="11" t="n">
        <v>332</v>
      </c>
    </row>
    <row r="113" customFormat="false" ht="15" hidden="false" customHeight="false" outlineLevel="0" collapsed="false">
      <c r="A113" s="10" t="n">
        <v>24.3950521945953</v>
      </c>
      <c r="B113" s="11" t="n">
        <v>200</v>
      </c>
      <c r="C113" s="12" t="n">
        <f aca="false">B113*'Correction factors'!$B$7</f>
        <v>967.8</v>
      </c>
      <c r="D113" s="13" t="n">
        <v>6.028656</v>
      </c>
      <c r="E113" s="14" t="n">
        <v>48</v>
      </c>
      <c r="F113" s="10" t="n">
        <f aca="false">E113/'Correction factors'!$B$10</f>
        <v>3.8712</v>
      </c>
      <c r="G113" s="11" t="n">
        <v>333</v>
      </c>
    </row>
    <row r="114" customFormat="false" ht="15" hidden="false" customHeight="false" outlineLevel="0" collapsed="false">
      <c r="A114" s="10" t="n">
        <v>24.8152441978455</v>
      </c>
      <c r="B114" s="11" t="n">
        <v>200</v>
      </c>
      <c r="C114" s="12" t="n">
        <f aca="false">B114*'Correction factors'!$B$7</f>
        <v>967.8</v>
      </c>
      <c r="D114" s="13" t="n">
        <v>6.018835</v>
      </c>
      <c r="E114" s="14" t="n">
        <v>48</v>
      </c>
      <c r="F114" s="10" t="n">
        <f aca="false">E114/'Correction factors'!$B$10</f>
        <v>3.8712</v>
      </c>
      <c r="G114" s="11" t="n">
        <v>332</v>
      </c>
    </row>
    <row r="115" customFormat="false" ht="15" hidden="false" customHeight="false" outlineLevel="0" collapsed="false">
      <c r="A115" s="10" t="n">
        <v>24.8152441978455</v>
      </c>
      <c r="B115" s="11" t="n">
        <v>200</v>
      </c>
      <c r="C115" s="12" t="n">
        <f aca="false">B115*'Correction factors'!$B$7</f>
        <v>967.8</v>
      </c>
      <c r="D115" s="13" t="n">
        <v>5.999192</v>
      </c>
      <c r="E115" s="14" t="n">
        <v>48</v>
      </c>
      <c r="F115" s="10" t="n">
        <f aca="false">E115/'Correction factors'!$B$10</f>
        <v>3.8712</v>
      </c>
      <c r="G115" s="11" t="n">
        <v>332</v>
      </c>
    </row>
    <row r="116" customFormat="false" ht="15" hidden="false" customHeight="false" outlineLevel="0" collapsed="false">
      <c r="A116" s="10" t="n">
        <v>25.2267286777496</v>
      </c>
      <c r="B116" s="11" t="n">
        <v>200</v>
      </c>
      <c r="C116" s="12" t="n">
        <f aca="false">B116*'Correction factors'!$B$7</f>
        <v>967.8</v>
      </c>
      <c r="D116" s="13" t="n">
        <v>5.98937</v>
      </c>
      <c r="E116" s="14" t="n">
        <v>48</v>
      </c>
      <c r="F116" s="10" t="n">
        <f aca="false">E116/'Correction factors'!$B$10</f>
        <v>3.8712</v>
      </c>
      <c r="G116" s="11" t="n">
        <v>332</v>
      </c>
    </row>
    <row r="117" customFormat="false" ht="15" hidden="false" customHeight="false" outlineLevel="0" collapsed="false">
      <c r="A117" s="10" t="n">
        <v>25.2267286777496</v>
      </c>
      <c r="B117" s="11" t="n">
        <v>200</v>
      </c>
      <c r="C117" s="12" t="n">
        <f aca="false">B117*'Correction factors'!$B$7</f>
        <v>967.8</v>
      </c>
      <c r="D117" s="13" t="n">
        <v>5.979549</v>
      </c>
      <c r="E117" s="14" t="n">
        <v>48</v>
      </c>
      <c r="F117" s="10" t="n">
        <f aca="false">E117/'Correction factors'!$B$10</f>
        <v>3.8712</v>
      </c>
      <c r="G117" s="11" t="n">
        <v>332</v>
      </c>
    </row>
    <row r="118" customFormat="false" ht="15" hidden="false" customHeight="false" outlineLevel="0" collapsed="false">
      <c r="A118" s="10" t="n">
        <v>25.6651878356934</v>
      </c>
      <c r="B118" s="11" t="n">
        <v>200</v>
      </c>
      <c r="C118" s="12" t="n">
        <f aca="false">B118*'Correction factors'!$B$7</f>
        <v>967.8</v>
      </c>
      <c r="D118" s="13" t="n">
        <v>5.959905</v>
      </c>
      <c r="E118" s="14" t="n">
        <v>48</v>
      </c>
      <c r="F118" s="10" t="n">
        <f aca="false">E118/'Correction factors'!$B$10</f>
        <v>3.8712</v>
      </c>
      <c r="G118" s="11" t="n">
        <v>332</v>
      </c>
    </row>
    <row r="119" customFormat="false" ht="15" hidden="false" customHeight="false" outlineLevel="0" collapsed="false">
      <c r="A119" s="10" t="n">
        <v>25.6651878356934</v>
      </c>
      <c r="B119" s="11" t="n">
        <v>200</v>
      </c>
      <c r="C119" s="12" t="n">
        <f aca="false">B119*'Correction factors'!$B$7</f>
        <v>967.8</v>
      </c>
      <c r="D119" s="13" t="n">
        <v>5.930441</v>
      </c>
      <c r="E119" s="14" t="n">
        <v>48</v>
      </c>
      <c r="F119" s="10" t="n">
        <f aca="false">E119/'Correction factors'!$B$10</f>
        <v>3.8712</v>
      </c>
      <c r="G119" s="11" t="n">
        <v>332</v>
      </c>
    </row>
    <row r="120" customFormat="false" ht="15" hidden="false" customHeight="false" outlineLevel="0" collapsed="false">
      <c r="A120" s="10" t="n">
        <v>25.6651878356934</v>
      </c>
      <c r="B120" s="11" t="n">
        <v>200</v>
      </c>
      <c r="C120" s="12" t="n">
        <f aca="false">B120*'Correction factors'!$B$7</f>
        <v>967.8</v>
      </c>
      <c r="D120" s="13" t="n">
        <v>5.930441</v>
      </c>
      <c r="E120" s="14" t="n">
        <v>48</v>
      </c>
      <c r="F120" s="10" t="n">
        <f aca="false">E120/'Correction factors'!$B$10</f>
        <v>3.8712</v>
      </c>
      <c r="G120" s="11" t="n">
        <v>332</v>
      </c>
    </row>
    <row r="121" customFormat="false" ht="15" hidden="false" customHeight="false" outlineLevel="0" collapsed="false">
      <c r="A121" s="10" t="n">
        <v>26.1588652133942</v>
      </c>
      <c r="B121" s="11" t="n">
        <v>180</v>
      </c>
      <c r="C121" s="12" t="n">
        <f aca="false">B121*'Correction factors'!$B$7</f>
        <v>871.02</v>
      </c>
      <c r="D121" s="13" t="n">
        <v>5.910797</v>
      </c>
      <c r="E121" s="14" t="n">
        <v>48</v>
      </c>
      <c r="F121" s="10" t="n">
        <f aca="false">E121/'Correction factors'!$B$10</f>
        <v>3.8712</v>
      </c>
      <c r="G121" s="11" t="n">
        <v>333</v>
      </c>
    </row>
    <row r="122" customFormat="false" ht="15" hidden="false" customHeight="false" outlineLevel="0" collapsed="false">
      <c r="A122" s="10" t="n">
        <v>26.1588652133942</v>
      </c>
      <c r="B122" s="11" t="n">
        <v>180</v>
      </c>
      <c r="C122" s="12" t="n">
        <f aca="false">B122*'Correction factors'!$B$7</f>
        <v>871.02</v>
      </c>
      <c r="D122" s="13" t="n">
        <v>5.891154</v>
      </c>
      <c r="E122" s="14" t="n">
        <v>56</v>
      </c>
      <c r="F122" s="10" t="n">
        <f aca="false">E122/'Correction factors'!$B$10</f>
        <v>4.5164</v>
      </c>
      <c r="G122" s="11" t="n">
        <v>333</v>
      </c>
    </row>
    <row r="123" customFormat="false" ht="15" hidden="false" customHeight="false" outlineLevel="0" collapsed="false">
      <c r="A123" s="10" t="n">
        <v>26.5945334434509</v>
      </c>
      <c r="B123" s="11" t="n">
        <v>200</v>
      </c>
      <c r="C123" s="12" t="n">
        <f aca="false">B123*'Correction factors'!$B$7</f>
        <v>967.8</v>
      </c>
      <c r="D123" s="13" t="n">
        <v>5.871511</v>
      </c>
      <c r="E123" s="14" t="n">
        <v>48</v>
      </c>
      <c r="F123" s="10" t="n">
        <f aca="false">E123/'Correction factors'!$B$10</f>
        <v>3.8712</v>
      </c>
      <c r="G123" s="11" t="n">
        <v>334</v>
      </c>
    </row>
    <row r="124" customFormat="false" ht="15" hidden="false" customHeight="false" outlineLevel="0" collapsed="false">
      <c r="A124" s="10" t="n">
        <v>26.5945334434509</v>
      </c>
      <c r="B124" s="11" t="n">
        <v>200</v>
      </c>
      <c r="C124" s="12" t="n">
        <f aca="false">B124*'Correction factors'!$B$7</f>
        <v>967.8</v>
      </c>
      <c r="D124" s="13" t="n">
        <v>5.851868</v>
      </c>
      <c r="E124" s="14" t="n">
        <v>48</v>
      </c>
      <c r="F124" s="10" t="n">
        <f aca="false">E124/'Correction factors'!$B$10</f>
        <v>3.8712</v>
      </c>
      <c r="G124" s="11" t="n">
        <v>334</v>
      </c>
    </row>
    <row r="125" customFormat="false" ht="15" hidden="false" customHeight="false" outlineLevel="0" collapsed="false">
      <c r="A125" s="10" t="n">
        <v>27.026641368866</v>
      </c>
      <c r="B125" s="11" t="n">
        <v>200</v>
      </c>
      <c r="C125" s="12" t="n">
        <f aca="false">B125*'Correction factors'!$B$7</f>
        <v>967.8</v>
      </c>
      <c r="D125" s="13" t="n">
        <v>5.842046</v>
      </c>
      <c r="E125" s="14" t="n">
        <v>48</v>
      </c>
      <c r="F125" s="10" t="n">
        <f aca="false">E125/'Correction factors'!$B$10</f>
        <v>3.8712</v>
      </c>
      <c r="G125" s="11" t="n">
        <v>333</v>
      </c>
    </row>
    <row r="126" customFormat="false" ht="15" hidden="false" customHeight="false" outlineLevel="0" collapsed="false">
      <c r="A126" s="10" t="n">
        <v>27.026641368866</v>
      </c>
      <c r="B126" s="11" t="n">
        <v>200</v>
      </c>
      <c r="C126" s="12" t="n">
        <f aca="false">B126*'Correction factors'!$B$7</f>
        <v>967.8</v>
      </c>
      <c r="D126" s="13" t="n">
        <v>5.832225</v>
      </c>
      <c r="E126" s="14" t="n">
        <v>48</v>
      </c>
      <c r="F126" s="10" t="n">
        <f aca="false">E126/'Correction factors'!$B$10</f>
        <v>3.8712</v>
      </c>
      <c r="G126" s="11" t="n">
        <v>333</v>
      </c>
    </row>
    <row r="127" customFormat="false" ht="15" hidden="false" customHeight="false" outlineLevel="0" collapsed="false">
      <c r="A127" s="10" t="n">
        <v>27.4526829719544</v>
      </c>
      <c r="B127" s="11" t="n">
        <v>200</v>
      </c>
      <c r="C127" s="12" t="n">
        <f aca="false">B127*'Correction factors'!$B$7</f>
        <v>967.8</v>
      </c>
      <c r="D127" s="13" t="n">
        <v>5.80276</v>
      </c>
      <c r="E127" s="14" t="n">
        <v>48</v>
      </c>
      <c r="F127" s="10" t="n">
        <f aca="false">E127/'Correction factors'!$B$10</f>
        <v>3.8712</v>
      </c>
      <c r="G127" s="11" t="n">
        <v>333</v>
      </c>
    </row>
    <row r="128" customFormat="false" ht="15" hidden="false" customHeight="false" outlineLevel="0" collapsed="false">
      <c r="A128" s="10" t="n">
        <v>27.4526829719544</v>
      </c>
      <c r="B128" s="11" t="n">
        <v>200</v>
      </c>
      <c r="C128" s="12" t="n">
        <f aca="false">B128*'Correction factors'!$B$7</f>
        <v>967.8</v>
      </c>
      <c r="D128" s="13" t="n">
        <v>5.792939</v>
      </c>
      <c r="E128" s="14" t="n">
        <v>48</v>
      </c>
      <c r="F128" s="10" t="n">
        <f aca="false">E128/'Correction factors'!$B$10</f>
        <v>3.8712</v>
      </c>
      <c r="G128" s="11" t="n">
        <v>333</v>
      </c>
    </row>
    <row r="129" customFormat="false" ht="15" hidden="false" customHeight="false" outlineLevel="0" collapsed="false">
      <c r="A129" s="10" t="n">
        <v>27.8879632949829</v>
      </c>
      <c r="B129" s="11" t="n">
        <v>180</v>
      </c>
      <c r="C129" s="12" t="n">
        <f aca="false">B129*'Correction factors'!$B$7</f>
        <v>871.02</v>
      </c>
      <c r="D129" s="13" t="n">
        <v>5.763474</v>
      </c>
      <c r="E129" s="14" t="n">
        <v>56</v>
      </c>
      <c r="F129" s="10" t="n">
        <f aca="false">E129/'Correction factors'!$B$10</f>
        <v>4.5164</v>
      </c>
      <c r="G129" s="11" t="n">
        <v>334</v>
      </c>
    </row>
    <row r="130" customFormat="false" ht="15" hidden="false" customHeight="false" outlineLevel="0" collapsed="false">
      <c r="A130" s="10" t="n">
        <v>27.8879632949829</v>
      </c>
      <c r="B130" s="11" t="n">
        <v>180</v>
      </c>
      <c r="C130" s="12" t="n">
        <f aca="false">B130*'Correction factors'!$B$7</f>
        <v>871.02</v>
      </c>
      <c r="D130" s="13" t="n">
        <v>5.753652</v>
      </c>
      <c r="E130" s="14" t="n">
        <v>48</v>
      </c>
      <c r="F130" s="10" t="n">
        <f aca="false">E130/'Correction factors'!$B$10</f>
        <v>3.8712</v>
      </c>
      <c r="G130" s="11" t="n">
        <v>334</v>
      </c>
    </row>
    <row r="131" customFormat="false" ht="15" hidden="false" customHeight="false" outlineLevel="0" collapsed="false">
      <c r="A131" s="10" t="n">
        <v>28.3210785388947</v>
      </c>
      <c r="B131" s="11" t="n">
        <v>180</v>
      </c>
      <c r="C131" s="12" t="n">
        <f aca="false">B131*'Correction factors'!$B$7</f>
        <v>871.02</v>
      </c>
      <c r="D131" s="13" t="n">
        <v>5.74383</v>
      </c>
      <c r="E131" s="14" t="n">
        <v>48</v>
      </c>
      <c r="F131" s="10" t="n">
        <f aca="false">E131/'Correction factors'!$B$10</f>
        <v>3.8712</v>
      </c>
      <c r="G131" s="11" t="n">
        <v>335</v>
      </c>
    </row>
    <row r="132" customFormat="false" ht="15" hidden="false" customHeight="false" outlineLevel="0" collapsed="false">
      <c r="A132" s="10" t="n">
        <v>28.3210785388947</v>
      </c>
      <c r="B132" s="11" t="n">
        <v>180</v>
      </c>
      <c r="C132" s="12" t="n">
        <f aca="false">B132*'Correction factors'!$B$7</f>
        <v>871.02</v>
      </c>
      <c r="D132" s="13" t="n">
        <v>5.724187</v>
      </c>
      <c r="E132" s="14" t="n">
        <v>48</v>
      </c>
      <c r="F132" s="10" t="n">
        <f aca="false">E132/'Correction factors'!$B$10</f>
        <v>3.8712</v>
      </c>
      <c r="G132" s="11" t="n">
        <v>336</v>
      </c>
    </row>
    <row r="133" customFormat="false" ht="15" hidden="false" customHeight="false" outlineLevel="0" collapsed="false">
      <c r="A133" s="10" t="n">
        <v>28.7862188816071</v>
      </c>
      <c r="B133" s="11" t="n">
        <v>180</v>
      </c>
      <c r="C133" s="12" t="n">
        <f aca="false">B133*'Correction factors'!$B$7</f>
        <v>871.02</v>
      </c>
      <c r="D133" s="13" t="n">
        <v>5.714366</v>
      </c>
      <c r="E133" s="14" t="n">
        <v>48</v>
      </c>
      <c r="F133" s="10" t="n">
        <f aca="false">E133/'Correction factors'!$B$10</f>
        <v>3.8712</v>
      </c>
      <c r="G133" s="11" t="n">
        <v>336</v>
      </c>
    </row>
    <row r="134" customFormat="false" ht="15" hidden="false" customHeight="false" outlineLevel="0" collapsed="false">
      <c r="A134" s="10" t="n">
        <v>28.7862188816071</v>
      </c>
      <c r="B134" s="11" t="n">
        <v>220</v>
      </c>
      <c r="C134" s="12" t="n">
        <f aca="false">B134*'Correction factors'!$B$7</f>
        <v>1064.58</v>
      </c>
      <c r="D134" s="13" t="n">
        <v>5.704544</v>
      </c>
      <c r="E134" s="14" t="n">
        <v>80</v>
      </c>
      <c r="F134" s="10" t="n">
        <f aca="false">E134/'Correction factors'!$B$10</f>
        <v>6.452</v>
      </c>
      <c r="G134" s="11" t="n">
        <v>336</v>
      </c>
    </row>
    <row r="135" customFormat="false" ht="15" hidden="false" customHeight="false" outlineLevel="0" collapsed="false">
      <c r="A135" s="10" t="n">
        <v>28.7862188816071</v>
      </c>
      <c r="B135" s="11" t="n">
        <v>180</v>
      </c>
      <c r="C135" s="12" t="n">
        <f aca="false">B135*'Correction factors'!$B$7</f>
        <v>871.02</v>
      </c>
      <c r="D135" s="13" t="n">
        <v>5.684901</v>
      </c>
      <c r="E135" s="14" t="n">
        <v>56</v>
      </c>
      <c r="F135" s="10" t="n">
        <f aca="false">E135/'Correction factors'!$B$10</f>
        <v>4.5164</v>
      </c>
      <c r="G135" s="11" t="n">
        <v>334</v>
      </c>
    </row>
    <row r="136" customFormat="false" ht="15" hidden="false" customHeight="false" outlineLevel="0" collapsed="false">
      <c r="A136" s="10" t="n">
        <v>29.2627387046814</v>
      </c>
      <c r="B136" s="11" t="n">
        <v>180</v>
      </c>
      <c r="C136" s="12" t="n">
        <f aca="false">B136*'Correction factors'!$B$7</f>
        <v>871.02</v>
      </c>
      <c r="D136" s="13" t="n">
        <v>5.665258</v>
      </c>
      <c r="E136" s="14" t="n">
        <v>48</v>
      </c>
      <c r="F136" s="10" t="n">
        <f aca="false">E136/'Correction factors'!$B$10</f>
        <v>3.8712</v>
      </c>
      <c r="G136" s="11" t="n">
        <v>336</v>
      </c>
    </row>
    <row r="137" customFormat="false" ht="15" hidden="false" customHeight="false" outlineLevel="0" collapsed="false">
      <c r="A137" s="10" t="n">
        <v>29.2627387046814</v>
      </c>
      <c r="B137" s="11" t="n">
        <v>180</v>
      </c>
      <c r="C137" s="12" t="n">
        <f aca="false">B137*'Correction factors'!$B$7</f>
        <v>871.02</v>
      </c>
      <c r="D137" s="13" t="n">
        <v>5.655436</v>
      </c>
      <c r="E137" s="14" t="n">
        <v>48</v>
      </c>
      <c r="F137" s="10" t="n">
        <f aca="false">E137/'Correction factors'!$B$10</f>
        <v>3.8712</v>
      </c>
      <c r="G137" s="11" t="n">
        <v>337</v>
      </c>
    </row>
    <row r="138" customFormat="false" ht="15" hidden="false" customHeight="false" outlineLevel="0" collapsed="false">
      <c r="A138" s="10" t="n">
        <v>29.6905817985535</v>
      </c>
      <c r="B138" s="11" t="n">
        <v>180</v>
      </c>
      <c r="C138" s="12" t="n">
        <f aca="false">B138*'Correction factors'!$B$7</f>
        <v>871.02</v>
      </c>
      <c r="D138" s="13" t="n">
        <v>5.635793</v>
      </c>
      <c r="E138" s="14" t="n">
        <v>48</v>
      </c>
      <c r="F138" s="10" t="n">
        <f aca="false">E138/'Correction factors'!$B$10</f>
        <v>3.8712</v>
      </c>
      <c r="G138" s="11" t="n">
        <v>339</v>
      </c>
    </row>
    <row r="139" customFormat="false" ht="15" hidden="false" customHeight="false" outlineLevel="0" collapsed="false">
      <c r="A139" s="10" t="n">
        <v>29.6905817985535</v>
      </c>
      <c r="B139" s="11" t="n">
        <v>180</v>
      </c>
      <c r="C139" s="12" t="n">
        <f aca="false">B139*'Correction factors'!$B$7</f>
        <v>871.02</v>
      </c>
      <c r="D139" s="13" t="n">
        <v>5.635793</v>
      </c>
      <c r="E139" s="14" t="n">
        <v>48</v>
      </c>
      <c r="F139" s="10" t="n">
        <f aca="false">E139/'Correction factors'!$B$10</f>
        <v>3.8712</v>
      </c>
      <c r="G139" s="11" t="n">
        <v>339</v>
      </c>
    </row>
    <row r="140" customFormat="false" ht="15" hidden="false" customHeight="false" outlineLevel="0" collapsed="false">
      <c r="A140" s="10" t="n">
        <v>30.1272709369659</v>
      </c>
      <c r="B140" s="11" t="n">
        <v>180</v>
      </c>
      <c r="C140" s="12" t="n">
        <f aca="false">B140*'Correction factors'!$B$7</f>
        <v>871.02</v>
      </c>
      <c r="D140" s="13" t="n">
        <v>5.61615</v>
      </c>
      <c r="E140" s="14" t="n">
        <v>56</v>
      </c>
      <c r="F140" s="10" t="n">
        <f aca="false">E140/'Correction factors'!$B$10</f>
        <v>4.5164</v>
      </c>
      <c r="G140" s="11" t="n">
        <v>340</v>
      </c>
    </row>
    <row r="141" customFormat="false" ht="15" hidden="false" customHeight="false" outlineLevel="0" collapsed="false">
      <c r="A141" s="10" t="n">
        <v>30.1272709369659</v>
      </c>
      <c r="B141" s="11" t="n">
        <v>180</v>
      </c>
      <c r="C141" s="12" t="n">
        <f aca="false">B141*'Correction factors'!$B$7</f>
        <v>871.02</v>
      </c>
      <c r="D141" s="13" t="n">
        <v>5.61615</v>
      </c>
      <c r="E141" s="14" t="n">
        <v>48</v>
      </c>
      <c r="F141" s="10" t="n">
        <f aca="false">E141/'Correction factors'!$B$10</f>
        <v>3.8712</v>
      </c>
      <c r="G141" s="11" t="n">
        <v>340</v>
      </c>
    </row>
    <row r="142" customFormat="false" ht="15" hidden="false" customHeight="false" outlineLevel="0" collapsed="false">
      <c r="A142" s="10" t="n">
        <v>30.5739622116089</v>
      </c>
      <c r="B142" s="11" t="n">
        <v>180</v>
      </c>
      <c r="C142" s="12" t="n">
        <f aca="false">B142*'Correction factors'!$B$7</f>
        <v>871.02</v>
      </c>
      <c r="D142" s="13" t="n">
        <v>5.596507</v>
      </c>
      <c r="E142" s="14" t="n">
        <v>48</v>
      </c>
      <c r="F142" s="10" t="n">
        <f aca="false">E142/'Correction factors'!$B$10</f>
        <v>3.8712</v>
      </c>
      <c r="G142" s="11" t="n">
        <v>342</v>
      </c>
    </row>
    <row r="143" customFormat="false" ht="15" hidden="false" customHeight="false" outlineLevel="0" collapsed="false">
      <c r="A143" s="10" t="n">
        <v>30.5739622116089</v>
      </c>
      <c r="B143" s="11" t="n">
        <v>180</v>
      </c>
      <c r="C143" s="12" t="n">
        <f aca="false">B143*'Correction factors'!$B$7</f>
        <v>871.02</v>
      </c>
      <c r="D143" s="13" t="n">
        <v>5.606328</v>
      </c>
      <c r="E143" s="14" t="n">
        <v>48</v>
      </c>
      <c r="F143" s="10" t="n">
        <f aca="false">E143/'Correction factors'!$B$10</f>
        <v>3.8712</v>
      </c>
      <c r="G143" s="11" t="n">
        <v>342</v>
      </c>
    </row>
    <row r="144" customFormat="false" ht="15" hidden="false" customHeight="false" outlineLevel="0" collapsed="false">
      <c r="A144" s="10" t="n">
        <v>31.0195281505585</v>
      </c>
      <c r="B144" s="11" t="n">
        <v>180</v>
      </c>
      <c r="C144" s="12" t="n">
        <f aca="false">B144*'Correction factors'!$B$7</f>
        <v>871.02</v>
      </c>
      <c r="D144" s="13" t="n">
        <v>5.596507</v>
      </c>
      <c r="E144" s="14" t="n">
        <v>48</v>
      </c>
      <c r="F144" s="10" t="n">
        <f aca="false">E144/'Correction factors'!$B$10</f>
        <v>3.8712</v>
      </c>
      <c r="G144" s="11" t="n">
        <v>342</v>
      </c>
    </row>
    <row r="145" customFormat="false" ht="15" hidden="false" customHeight="false" outlineLevel="0" collapsed="false">
      <c r="A145" s="10" t="n">
        <v>31.0195281505585</v>
      </c>
      <c r="B145" s="11" t="n">
        <v>180</v>
      </c>
      <c r="C145" s="12" t="n">
        <f aca="false">B145*'Correction factors'!$B$7</f>
        <v>871.02</v>
      </c>
      <c r="D145" s="13" t="n">
        <v>5.596507</v>
      </c>
      <c r="E145" s="14" t="n">
        <v>48</v>
      </c>
      <c r="F145" s="10" t="n">
        <f aca="false">E145/'Correction factors'!$B$10</f>
        <v>3.8712</v>
      </c>
      <c r="G145" s="11" t="n">
        <v>343</v>
      </c>
    </row>
    <row r="146" customFormat="false" ht="15" hidden="false" customHeight="false" outlineLevel="0" collapsed="false">
      <c r="A146" s="10" t="n">
        <v>31.4670734405518</v>
      </c>
      <c r="B146" s="11" t="n">
        <v>160</v>
      </c>
      <c r="C146" s="12" t="n">
        <f aca="false">B146*'Correction factors'!$B$7</f>
        <v>774.24</v>
      </c>
      <c r="D146" s="13" t="n">
        <v>5.596507</v>
      </c>
      <c r="E146" s="14" t="n">
        <v>48</v>
      </c>
      <c r="F146" s="10" t="n">
        <f aca="false">E146/'Correction factors'!$B$10</f>
        <v>3.8712</v>
      </c>
      <c r="G146" s="11" t="n">
        <v>344</v>
      </c>
    </row>
    <row r="147" customFormat="false" ht="15" hidden="false" customHeight="false" outlineLevel="0" collapsed="false">
      <c r="A147" s="10" t="n">
        <v>31.4670734405518</v>
      </c>
      <c r="B147" s="11" t="n">
        <v>160</v>
      </c>
      <c r="C147" s="12" t="n">
        <f aca="false">B147*'Correction factors'!$B$7</f>
        <v>774.24</v>
      </c>
      <c r="D147" s="13" t="n">
        <v>5.586685</v>
      </c>
      <c r="E147" s="14" t="n">
        <v>48</v>
      </c>
      <c r="F147" s="10" t="n">
        <f aca="false">E147/'Correction factors'!$B$10</f>
        <v>3.8712</v>
      </c>
      <c r="G147" s="11" t="n">
        <v>347</v>
      </c>
    </row>
    <row r="148" customFormat="false" ht="15" hidden="false" customHeight="false" outlineLevel="0" collapsed="false">
      <c r="A148" s="10" t="n">
        <v>31.4670734405518</v>
      </c>
      <c r="B148" s="11" t="n">
        <v>160</v>
      </c>
      <c r="C148" s="12" t="n">
        <f aca="false">B148*'Correction factors'!$B$7</f>
        <v>774.24</v>
      </c>
      <c r="D148" s="13" t="n">
        <v>5.586685</v>
      </c>
      <c r="E148" s="14" t="n">
        <v>48</v>
      </c>
      <c r="F148" s="10" t="n">
        <f aca="false">E148/'Correction factors'!$B$10</f>
        <v>3.8712</v>
      </c>
      <c r="G148" s="11" t="n">
        <v>349</v>
      </c>
    </row>
    <row r="149" customFormat="false" ht="15" hidden="false" customHeight="false" outlineLevel="0" collapsed="false">
      <c r="A149" s="10" t="n">
        <v>31.9495451450348</v>
      </c>
      <c r="B149" s="11" t="n">
        <v>180</v>
      </c>
      <c r="C149" s="12" t="n">
        <f aca="false">B149*'Correction factors'!$B$7</f>
        <v>871.02</v>
      </c>
      <c r="D149" s="13" t="n">
        <v>5.596507</v>
      </c>
      <c r="E149" s="14" t="n">
        <v>48</v>
      </c>
      <c r="F149" s="10" t="n">
        <f aca="false">E149/'Correction factors'!$B$10</f>
        <v>3.8712</v>
      </c>
      <c r="G149" s="11" t="n">
        <v>350</v>
      </c>
    </row>
    <row r="150" customFormat="false" ht="15" hidden="false" customHeight="false" outlineLevel="0" collapsed="false">
      <c r="A150" s="10" t="n">
        <v>31.9495451450348</v>
      </c>
      <c r="B150" s="11" t="n">
        <v>180</v>
      </c>
      <c r="C150" s="12" t="n">
        <f aca="false">B150*'Correction factors'!$B$7</f>
        <v>871.02</v>
      </c>
      <c r="D150" s="13" t="n">
        <v>5.576863</v>
      </c>
      <c r="E150" s="14" t="n">
        <v>48</v>
      </c>
      <c r="F150" s="10" t="n">
        <f aca="false">E150/'Correction factors'!$B$10</f>
        <v>3.8712</v>
      </c>
      <c r="G150" s="11" t="n">
        <v>350</v>
      </c>
    </row>
    <row r="151" customFormat="false" ht="15" hidden="false" customHeight="false" outlineLevel="0" collapsed="false">
      <c r="A151" s="10" t="n">
        <v>32.395201921463</v>
      </c>
      <c r="B151" s="11" t="n">
        <v>160</v>
      </c>
      <c r="C151" s="12" t="n">
        <f aca="false">B151*'Correction factors'!$B$7</f>
        <v>774.24</v>
      </c>
      <c r="D151" s="13" t="n">
        <v>5.586685</v>
      </c>
      <c r="E151" s="14" t="n">
        <v>48</v>
      </c>
      <c r="F151" s="10" t="n">
        <f aca="false">E151/'Correction factors'!$B$10</f>
        <v>3.8712</v>
      </c>
      <c r="G151" s="11" t="n">
        <v>350</v>
      </c>
    </row>
    <row r="152" customFormat="false" ht="15" hidden="false" customHeight="false" outlineLevel="0" collapsed="false">
      <c r="A152" s="10" t="n">
        <v>32.395201921463</v>
      </c>
      <c r="B152" s="11" t="n">
        <v>180</v>
      </c>
      <c r="C152" s="12" t="n">
        <f aca="false">B152*'Correction factors'!$B$7</f>
        <v>871.02</v>
      </c>
      <c r="D152" s="13" t="n">
        <v>5.576863</v>
      </c>
      <c r="E152" s="14" t="n">
        <v>48</v>
      </c>
      <c r="F152" s="10" t="n">
        <f aca="false">E152/'Correction factors'!$B$10</f>
        <v>3.8712</v>
      </c>
      <c r="G152" s="11" t="n">
        <v>351</v>
      </c>
    </row>
    <row r="153" customFormat="false" ht="15" hidden="false" customHeight="false" outlineLevel="0" collapsed="false">
      <c r="A153" s="10" t="n">
        <v>32.8445601463318</v>
      </c>
      <c r="B153" s="11" t="n">
        <v>180</v>
      </c>
      <c r="C153" s="12" t="n">
        <f aca="false">B153*'Correction factors'!$B$7</f>
        <v>871.02</v>
      </c>
      <c r="D153" s="13" t="n">
        <v>5.576863</v>
      </c>
      <c r="E153" s="14" t="n">
        <v>56</v>
      </c>
      <c r="F153" s="10" t="n">
        <f aca="false">E153/'Correction factors'!$B$10</f>
        <v>4.5164</v>
      </c>
      <c r="G153" s="11" t="n">
        <v>351</v>
      </c>
    </row>
    <row r="154" customFormat="false" ht="15" hidden="false" customHeight="false" outlineLevel="0" collapsed="false">
      <c r="A154" s="10" t="n">
        <v>32.8445601463318</v>
      </c>
      <c r="B154" s="11" t="n">
        <v>180</v>
      </c>
      <c r="C154" s="12" t="n">
        <f aca="false">B154*'Correction factors'!$B$7</f>
        <v>871.02</v>
      </c>
      <c r="D154" s="13" t="n">
        <v>5.576863</v>
      </c>
      <c r="E154" s="14" t="n">
        <v>48</v>
      </c>
      <c r="F154" s="10" t="n">
        <f aca="false">E154/'Correction factors'!$B$10</f>
        <v>3.8712</v>
      </c>
      <c r="G154" s="11" t="n">
        <v>351</v>
      </c>
    </row>
    <row r="155" customFormat="false" ht="15" hidden="false" customHeight="false" outlineLevel="0" collapsed="false">
      <c r="A155" s="10" t="n">
        <v>33.3278422355652</v>
      </c>
      <c r="B155" s="11" t="n">
        <v>180</v>
      </c>
      <c r="C155" s="12" t="n">
        <f aca="false">B155*'Correction factors'!$B$7</f>
        <v>871.02</v>
      </c>
      <c r="D155" s="13" t="n">
        <v>5.576863</v>
      </c>
      <c r="E155" s="14" t="n">
        <v>48</v>
      </c>
      <c r="F155" s="10" t="n">
        <f aca="false">E155/'Correction factors'!$B$10</f>
        <v>3.8712</v>
      </c>
      <c r="G155" s="11" t="n">
        <v>351</v>
      </c>
    </row>
    <row r="156" customFormat="false" ht="15" hidden="false" customHeight="false" outlineLevel="0" collapsed="false">
      <c r="A156" s="10" t="n">
        <v>33.3278422355652</v>
      </c>
      <c r="B156" s="11" t="n">
        <v>180</v>
      </c>
      <c r="C156" s="12" t="n">
        <f aca="false">B156*'Correction factors'!$B$7</f>
        <v>871.02</v>
      </c>
      <c r="D156" s="13" t="n">
        <v>5.567041</v>
      </c>
      <c r="E156" s="14" t="n">
        <v>48</v>
      </c>
      <c r="F156" s="10" t="n">
        <f aca="false">E156/'Correction factors'!$B$10</f>
        <v>3.8712</v>
      </c>
      <c r="G156" s="11" t="n">
        <v>350</v>
      </c>
    </row>
    <row r="157" customFormat="false" ht="15" hidden="false" customHeight="false" outlineLevel="0" collapsed="false">
      <c r="A157" s="10" t="n">
        <v>33.3278422355652</v>
      </c>
      <c r="B157" s="11" t="n">
        <v>180</v>
      </c>
      <c r="C157" s="12" t="n">
        <f aca="false">B157*'Correction factors'!$B$7</f>
        <v>871.02</v>
      </c>
      <c r="D157" s="13" t="n">
        <v>5.567041</v>
      </c>
      <c r="E157" s="14" t="n">
        <v>48</v>
      </c>
      <c r="F157" s="10" t="n">
        <f aca="false">E157/'Correction factors'!$B$10</f>
        <v>3.8712</v>
      </c>
      <c r="G157" s="11" t="n">
        <v>352</v>
      </c>
    </row>
    <row r="158" customFormat="false" ht="15" hidden="false" customHeight="false" outlineLevel="0" collapsed="false">
      <c r="A158" s="10" t="n">
        <v>33.8164880275726</v>
      </c>
      <c r="B158" s="11" t="n">
        <v>180</v>
      </c>
      <c r="C158" s="12" t="n">
        <f aca="false">B158*'Correction factors'!$B$7</f>
        <v>871.02</v>
      </c>
      <c r="D158" s="13" t="n">
        <v>5.567041</v>
      </c>
      <c r="E158" s="14" t="n">
        <v>48</v>
      </c>
      <c r="F158" s="10" t="n">
        <f aca="false">E158/'Correction factors'!$B$10</f>
        <v>3.8712</v>
      </c>
      <c r="G158" s="11" t="n">
        <v>354</v>
      </c>
    </row>
    <row r="159" customFormat="false" ht="15" hidden="false" customHeight="false" outlineLevel="0" collapsed="false">
      <c r="A159" s="10" t="n">
        <v>33.8164880275726</v>
      </c>
      <c r="B159" s="11" t="n">
        <v>180</v>
      </c>
      <c r="C159" s="12" t="n">
        <f aca="false">B159*'Correction factors'!$B$7</f>
        <v>871.02</v>
      </c>
      <c r="D159" s="13" t="n">
        <v>5.55722</v>
      </c>
      <c r="E159" s="14" t="n">
        <v>56</v>
      </c>
      <c r="F159" s="10" t="n">
        <f aca="false">E159/'Correction factors'!$B$10</f>
        <v>4.5164</v>
      </c>
      <c r="G159" s="11" t="n">
        <v>354</v>
      </c>
    </row>
    <row r="160" customFormat="false" ht="15" hidden="false" customHeight="false" outlineLevel="0" collapsed="false">
      <c r="A160" s="10" t="n">
        <v>34.266521692276</v>
      </c>
      <c r="B160" s="11" t="n">
        <v>180</v>
      </c>
      <c r="C160" s="12" t="n">
        <f aca="false">B160*'Correction factors'!$B$7</f>
        <v>871.02</v>
      </c>
      <c r="D160" s="13" t="n">
        <v>5.55722</v>
      </c>
      <c r="E160" s="14" t="n">
        <v>48</v>
      </c>
      <c r="F160" s="10" t="n">
        <f aca="false">E160/'Correction factors'!$B$10</f>
        <v>3.8712</v>
      </c>
      <c r="G160" s="11" t="n">
        <v>355</v>
      </c>
    </row>
    <row r="161" customFormat="false" ht="15" hidden="false" customHeight="false" outlineLevel="0" collapsed="false">
      <c r="A161" s="10" t="n">
        <v>34.266521692276</v>
      </c>
      <c r="B161" s="11" t="n">
        <v>180</v>
      </c>
      <c r="C161" s="12" t="n">
        <f aca="false">B161*'Correction factors'!$B$7</f>
        <v>871.02</v>
      </c>
      <c r="D161" s="13" t="n">
        <v>5.547399</v>
      </c>
      <c r="E161" s="14" t="n">
        <v>48</v>
      </c>
      <c r="F161" s="10" t="n">
        <f aca="false">E161/'Correction factors'!$B$10</f>
        <v>3.8712</v>
      </c>
      <c r="G161" s="11" t="n">
        <v>355</v>
      </c>
    </row>
    <row r="162" customFormat="false" ht="15" hidden="false" customHeight="false" outlineLevel="0" collapsed="false">
      <c r="A162" s="10" t="n">
        <v>34.7156610488892</v>
      </c>
      <c r="B162" s="11" t="n">
        <v>180</v>
      </c>
      <c r="C162" s="12" t="n">
        <f aca="false">B162*'Correction factors'!$B$7</f>
        <v>871.02</v>
      </c>
      <c r="D162" s="13" t="n">
        <v>5.547399</v>
      </c>
      <c r="E162" s="14" t="n">
        <v>48</v>
      </c>
      <c r="F162" s="10" t="n">
        <f aca="false">E162/'Correction factors'!$B$10</f>
        <v>3.8712</v>
      </c>
      <c r="G162" s="11" t="n">
        <v>356</v>
      </c>
    </row>
    <row r="163" customFormat="false" ht="15" hidden="false" customHeight="false" outlineLevel="0" collapsed="false">
      <c r="A163" s="10" t="n">
        <v>34.7156610488892</v>
      </c>
      <c r="B163" s="11" t="n">
        <v>200</v>
      </c>
      <c r="C163" s="12" t="n">
        <f aca="false">B163*'Correction factors'!$B$7</f>
        <v>967.8</v>
      </c>
      <c r="D163" s="13" t="n">
        <v>5.537577</v>
      </c>
      <c r="E163" s="14" t="n">
        <v>56</v>
      </c>
      <c r="F163" s="10" t="n">
        <f aca="false">E163/'Correction factors'!$B$10</f>
        <v>4.5164</v>
      </c>
      <c r="G163" s="11" t="n">
        <v>356</v>
      </c>
    </row>
    <row r="164" customFormat="false" ht="15" hidden="false" customHeight="false" outlineLevel="0" collapsed="false">
      <c r="A164" s="10" t="n">
        <v>35.1648664474487</v>
      </c>
      <c r="B164" s="11" t="n">
        <v>180</v>
      </c>
      <c r="C164" s="12" t="n">
        <f aca="false">B164*'Correction factors'!$B$7</f>
        <v>871.02</v>
      </c>
      <c r="D164" s="13" t="n">
        <v>5.537577</v>
      </c>
      <c r="E164" s="14" t="n">
        <v>48</v>
      </c>
      <c r="F164" s="10" t="n">
        <f aca="false">E164/'Correction factors'!$B$10</f>
        <v>3.8712</v>
      </c>
      <c r="G164" s="11" t="n">
        <v>354</v>
      </c>
    </row>
    <row r="165" customFormat="false" ht="15" hidden="false" customHeight="false" outlineLevel="0" collapsed="false">
      <c r="A165" s="10" t="n">
        <v>35.1648664474487</v>
      </c>
      <c r="B165" s="11" t="n">
        <v>180</v>
      </c>
      <c r="C165" s="12" t="n">
        <f aca="false">B165*'Correction factors'!$B$7</f>
        <v>871.02</v>
      </c>
      <c r="D165" s="13" t="n">
        <v>5.537577</v>
      </c>
      <c r="E165" s="14" t="n">
        <v>56</v>
      </c>
      <c r="F165" s="10" t="n">
        <f aca="false">E165/'Correction factors'!$B$10</f>
        <v>4.5164</v>
      </c>
      <c r="G165" s="11" t="n">
        <v>356</v>
      </c>
    </row>
    <row r="166" customFormat="false" ht="15" hidden="false" customHeight="false" outlineLevel="0" collapsed="false">
      <c r="A166" s="10" t="n">
        <v>35.1648664474487</v>
      </c>
      <c r="B166" s="11" t="n">
        <v>200</v>
      </c>
      <c r="C166" s="12" t="n">
        <f aca="false">B166*'Correction factors'!$B$7</f>
        <v>967.8</v>
      </c>
      <c r="D166" s="13" t="n">
        <v>5.527756</v>
      </c>
      <c r="E166" s="14" t="n">
        <v>48</v>
      </c>
      <c r="F166" s="10" t="n">
        <f aca="false">E166/'Correction factors'!$B$10</f>
        <v>3.8712</v>
      </c>
      <c r="G166" s="11" t="n">
        <v>358</v>
      </c>
    </row>
    <row r="167" customFormat="false" ht="15" hidden="false" customHeight="false" outlineLevel="0" collapsed="false">
      <c r="A167" s="10" t="n">
        <v>35.6939296722412</v>
      </c>
      <c r="B167" s="11" t="n">
        <v>200</v>
      </c>
      <c r="C167" s="12" t="n">
        <f aca="false">B167*'Correction factors'!$B$7</f>
        <v>967.8</v>
      </c>
      <c r="D167" s="13" t="n">
        <v>5.517933</v>
      </c>
      <c r="E167" s="14" t="n">
        <v>56</v>
      </c>
      <c r="F167" s="10" t="n">
        <f aca="false">E167/'Correction factors'!$B$10</f>
        <v>4.5164</v>
      </c>
      <c r="G167" s="11" t="n">
        <v>356</v>
      </c>
    </row>
    <row r="168" customFormat="false" ht="15" hidden="false" customHeight="false" outlineLevel="0" collapsed="false">
      <c r="A168" s="10" t="n">
        <v>35.6939296722412</v>
      </c>
      <c r="B168" s="11" t="n">
        <v>200</v>
      </c>
      <c r="C168" s="12" t="n">
        <f aca="false">B168*'Correction factors'!$B$7</f>
        <v>967.8</v>
      </c>
      <c r="D168" s="13" t="n">
        <v>5.517933</v>
      </c>
      <c r="E168" s="14" t="n">
        <v>48</v>
      </c>
      <c r="F168" s="10" t="n">
        <f aca="false">E168/'Correction factors'!$B$10</f>
        <v>3.8712</v>
      </c>
      <c r="G168" s="11" t="n">
        <v>356</v>
      </c>
    </row>
    <row r="169" customFormat="false" ht="15" hidden="false" customHeight="false" outlineLevel="0" collapsed="false">
      <c r="A169" s="10" t="n">
        <v>36.1580092906952</v>
      </c>
      <c r="B169" s="11" t="n">
        <v>200</v>
      </c>
      <c r="C169" s="12" t="n">
        <f aca="false">B169*'Correction factors'!$B$7</f>
        <v>967.8</v>
      </c>
      <c r="D169" s="13" t="n">
        <v>5.508112</v>
      </c>
      <c r="E169" s="14" t="n">
        <v>56</v>
      </c>
      <c r="F169" s="10" t="n">
        <f aca="false">E169/'Correction factors'!$B$10</f>
        <v>4.5164</v>
      </c>
      <c r="G169" s="11" t="n">
        <v>356</v>
      </c>
    </row>
    <row r="170" customFormat="false" ht="15" hidden="false" customHeight="false" outlineLevel="0" collapsed="false">
      <c r="A170" s="10" t="n">
        <v>36.1580092906952</v>
      </c>
      <c r="B170" s="11" t="n">
        <v>200</v>
      </c>
      <c r="C170" s="12" t="n">
        <f aca="false">B170*'Correction factors'!$B$7</f>
        <v>967.8</v>
      </c>
      <c r="D170" s="13" t="n">
        <v>5.517933</v>
      </c>
      <c r="E170" s="14" t="n">
        <v>48</v>
      </c>
      <c r="F170" s="10" t="n">
        <f aca="false">E170/'Correction factors'!$B$10</f>
        <v>3.8712</v>
      </c>
      <c r="G170" s="11" t="n">
        <v>356</v>
      </c>
    </row>
    <row r="171" customFormat="false" ht="15" hidden="false" customHeight="false" outlineLevel="0" collapsed="false">
      <c r="A171" s="10" t="n">
        <v>36.6204206943512</v>
      </c>
      <c r="B171" s="11" t="n">
        <v>200</v>
      </c>
      <c r="C171" s="12" t="n">
        <f aca="false">B171*'Correction factors'!$B$7</f>
        <v>967.8</v>
      </c>
      <c r="D171" s="13" t="n">
        <v>5.488469</v>
      </c>
      <c r="E171" s="14" t="n">
        <v>56</v>
      </c>
      <c r="F171" s="10" t="n">
        <f aca="false">E171/'Correction factors'!$B$10</f>
        <v>4.5164</v>
      </c>
      <c r="G171" s="11" t="n">
        <v>356</v>
      </c>
    </row>
    <row r="172" customFormat="false" ht="15" hidden="false" customHeight="false" outlineLevel="0" collapsed="false">
      <c r="A172" s="10" t="n">
        <v>36.6204206943512</v>
      </c>
      <c r="B172" s="11" t="n">
        <v>200</v>
      </c>
      <c r="C172" s="12" t="n">
        <f aca="false">B172*'Correction factors'!$B$7</f>
        <v>967.8</v>
      </c>
      <c r="D172" s="13" t="n">
        <v>5.488469</v>
      </c>
      <c r="E172" s="14" t="n">
        <v>48</v>
      </c>
      <c r="F172" s="10" t="n">
        <f aca="false">E172/'Correction factors'!$B$10</f>
        <v>3.8712</v>
      </c>
      <c r="G172" s="11" t="n">
        <v>356</v>
      </c>
    </row>
    <row r="173" customFormat="false" ht="15" hidden="false" customHeight="false" outlineLevel="0" collapsed="false">
      <c r="A173" s="10" t="n">
        <v>36.6204206943512</v>
      </c>
      <c r="B173" s="11" t="n">
        <v>200</v>
      </c>
      <c r="C173" s="12" t="n">
        <f aca="false">B173*'Correction factors'!$B$7</f>
        <v>967.8</v>
      </c>
      <c r="D173" s="13" t="n">
        <v>5.488469</v>
      </c>
      <c r="E173" s="14" t="n">
        <v>48</v>
      </c>
      <c r="F173" s="10" t="n">
        <f aca="false">E173/'Correction factors'!$B$10</f>
        <v>3.8712</v>
      </c>
      <c r="G173" s="11" t="n">
        <v>356</v>
      </c>
    </row>
    <row r="174" customFormat="false" ht="15" hidden="false" customHeight="false" outlineLevel="0" collapsed="false">
      <c r="A174" s="10" t="n">
        <v>37.128319978714</v>
      </c>
      <c r="B174" s="11" t="n">
        <v>200</v>
      </c>
      <c r="C174" s="12" t="n">
        <f aca="false">B174*'Correction factors'!$B$7</f>
        <v>967.8</v>
      </c>
      <c r="D174" s="13" t="n">
        <v>5.478647</v>
      </c>
      <c r="E174" s="14" t="n">
        <v>56</v>
      </c>
      <c r="F174" s="10" t="n">
        <f aca="false">E174/'Correction factors'!$B$10</f>
        <v>4.5164</v>
      </c>
      <c r="G174" s="11" t="n">
        <v>356</v>
      </c>
    </row>
    <row r="175" customFormat="false" ht="15" hidden="false" customHeight="false" outlineLevel="0" collapsed="false">
      <c r="A175" s="10" t="n">
        <v>37.128319978714</v>
      </c>
      <c r="B175" s="11" t="n">
        <v>200</v>
      </c>
      <c r="C175" s="12" t="n">
        <f aca="false">B175*'Correction factors'!$B$7</f>
        <v>967.8</v>
      </c>
      <c r="D175" s="13" t="n">
        <v>5.478647</v>
      </c>
      <c r="E175" s="14" t="n">
        <v>48</v>
      </c>
      <c r="F175" s="10" t="n">
        <f aca="false">E175/'Correction factors'!$B$10</f>
        <v>3.8712</v>
      </c>
      <c r="G175" s="11" t="n">
        <v>356</v>
      </c>
    </row>
    <row r="176" customFormat="false" ht="15" hidden="false" customHeight="false" outlineLevel="0" collapsed="false">
      <c r="A176" s="10" t="n">
        <v>37.5942776203156</v>
      </c>
      <c r="B176" s="11" t="n">
        <v>200</v>
      </c>
      <c r="C176" s="12" t="n">
        <f aca="false">B176*'Correction factors'!$B$7</f>
        <v>967.8</v>
      </c>
      <c r="D176" s="13" t="n">
        <v>5.468826</v>
      </c>
      <c r="E176" s="14" t="n">
        <v>56</v>
      </c>
      <c r="F176" s="10" t="n">
        <f aca="false">E176/'Correction factors'!$B$10</f>
        <v>4.5164</v>
      </c>
      <c r="G176" s="11" t="n">
        <v>356</v>
      </c>
    </row>
    <row r="177" customFormat="false" ht="15" hidden="false" customHeight="false" outlineLevel="0" collapsed="false">
      <c r="A177" s="10" t="n">
        <v>37.5942776203156</v>
      </c>
      <c r="B177" s="11" t="n">
        <v>200</v>
      </c>
      <c r="C177" s="12" t="n">
        <f aca="false">B177*'Correction factors'!$B$7</f>
        <v>967.8</v>
      </c>
      <c r="D177" s="13" t="n">
        <v>5.468826</v>
      </c>
      <c r="E177" s="14" t="n">
        <v>48</v>
      </c>
      <c r="F177" s="10" t="n">
        <f aca="false">E177/'Correction factors'!$B$10</f>
        <v>3.8712</v>
      </c>
      <c r="G177" s="11" t="n">
        <v>356</v>
      </c>
    </row>
    <row r="178" customFormat="false" ht="15" hidden="false" customHeight="false" outlineLevel="0" collapsed="false">
      <c r="A178" s="10" t="n">
        <v>38.0925979614258</v>
      </c>
      <c r="B178" s="11" t="n">
        <v>200</v>
      </c>
      <c r="C178" s="12" t="n">
        <f aca="false">B178*'Correction factors'!$B$7</f>
        <v>967.8</v>
      </c>
      <c r="D178" s="13" t="n">
        <v>5.468826</v>
      </c>
      <c r="E178" s="14" t="n">
        <v>48</v>
      </c>
      <c r="F178" s="10" t="n">
        <f aca="false">E178/'Correction factors'!$B$10</f>
        <v>3.8712</v>
      </c>
      <c r="G178" s="11" t="n">
        <v>356</v>
      </c>
    </row>
    <row r="179" customFormat="false" ht="15" hidden="false" customHeight="false" outlineLevel="0" collapsed="false">
      <c r="A179" s="10" t="n">
        <v>38.0925979614258</v>
      </c>
      <c r="B179" s="11" t="n">
        <v>200</v>
      </c>
      <c r="C179" s="12" t="n">
        <f aca="false">B179*'Correction factors'!$B$7</f>
        <v>967.8</v>
      </c>
      <c r="D179" s="13" t="n">
        <v>5.459004</v>
      </c>
      <c r="E179" s="14" t="n">
        <v>56</v>
      </c>
      <c r="F179" s="10" t="n">
        <f aca="false">E179/'Correction factors'!$B$10</f>
        <v>4.5164</v>
      </c>
      <c r="G179" s="11" t="n">
        <v>356</v>
      </c>
    </row>
    <row r="180" customFormat="false" ht="15" hidden="false" customHeight="false" outlineLevel="0" collapsed="false">
      <c r="A180" s="10" t="n">
        <v>38.0925979614258</v>
      </c>
      <c r="B180" s="11" t="n">
        <v>200</v>
      </c>
      <c r="C180" s="12" t="n">
        <f aca="false">B180*'Correction factors'!$B$7</f>
        <v>967.8</v>
      </c>
      <c r="D180" s="13" t="n">
        <v>5.468826</v>
      </c>
      <c r="E180" s="14" t="n">
        <v>48</v>
      </c>
      <c r="F180" s="10" t="n">
        <f aca="false">E180/'Correction factors'!$B$10</f>
        <v>3.8712</v>
      </c>
      <c r="G180" s="11" t="n">
        <v>356</v>
      </c>
    </row>
    <row r="181" customFormat="false" ht="15" hidden="false" customHeight="false" outlineLevel="0" collapsed="false">
      <c r="A181" s="10" t="n">
        <v>38.5842444896698</v>
      </c>
      <c r="B181" s="11" t="n">
        <v>200</v>
      </c>
      <c r="C181" s="12" t="n">
        <f aca="false">B181*'Correction factors'!$B$7</f>
        <v>967.8</v>
      </c>
      <c r="D181" s="13" t="n">
        <v>5.459004</v>
      </c>
      <c r="E181" s="14" t="n">
        <v>56</v>
      </c>
      <c r="F181" s="10" t="n">
        <f aca="false">E181/'Correction factors'!$B$10</f>
        <v>4.5164</v>
      </c>
      <c r="G181" s="11" t="n">
        <v>356</v>
      </c>
    </row>
    <row r="182" customFormat="false" ht="15" hidden="false" customHeight="false" outlineLevel="0" collapsed="false">
      <c r="A182" s="10" t="n">
        <v>38.5842444896698</v>
      </c>
      <c r="B182" s="11" t="n">
        <v>200</v>
      </c>
      <c r="C182" s="12" t="n">
        <f aca="false">B182*'Correction factors'!$B$7</f>
        <v>967.8</v>
      </c>
      <c r="D182" s="13" t="n">
        <v>5.449183</v>
      </c>
      <c r="E182" s="14" t="n">
        <v>48</v>
      </c>
      <c r="F182" s="10" t="n">
        <f aca="false">E182/'Correction factors'!$B$10</f>
        <v>3.8712</v>
      </c>
      <c r="G182" s="11" t="n">
        <v>356</v>
      </c>
    </row>
    <row r="183" customFormat="false" ht="15" hidden="false" customHeight="false" outlineLevel="0" collapsed="false">
      <c r="A183" s="10" t="n">
        <v>39.0453433990479</v>
      </c>
      <c r="B183" s="11" t="n">
        <v>200</v>
      </c>
      <c r="C183" s="12" t="n">
        <f aca="false">B183*'Correction factors'!$B$7</f>
        <v>967.8</v>
      </c>
      <c r="D183" s="13" t="n">
        <v>5.459004</v>
      </c>
      <c r="E183" s="14" t="n">
        <v>48</v>
      </c>
      <c r="F183" s="10" t="n">
        <f aca="false">E183/'Correction factors'!$B$10</f>
        <v>3.8712</v>
      </c>
      <c r="G183" s="11" t="n">
        <v>356</v>
      </c>
    </row>
    <row r="184" customFormat="false" ht="15" hidden="false" customHeight="false" outlineLevel="0" collapsed="false">
      <c r="A184" s="10" t="n">
        <v>39.0453433990479</v>
      </c>
      <c r="B184" s="11" t="n">
        <v>200</v>
      </c>
      <c r="C184" s="12" t="n">
        <f aca="false">B184*'Correction factors'!$B$7</f>
        <v>967.8</v>
      </c>
      <c r="D184" s="13" t="n">
        <v>5.439361</v>
      </c>
      <c r="E184" s="14" t="n">
        <v>56</v>
      </c>
      <c r="F184" s="10" t="n">
        <f aca="false">E184/'Correction factors'!$B$10</f>
        <v>4.5164</v>
      </c>
      <c r="G184" s="11" t="n">
        <v>356</v>
      </c>
    </row>
    <row r="185" customFormat="false" ht="15" hidden="false" customHeight="false" outlineLevel="0" collapsed="false">
      <c r="A185" s="10" t="n">
        <v>39.4973156452179</v>
      </c>
      <c r="B185" s="11" t="n">
        <v>200</v>
      </c>
      <c r="C185" s="12" t="n">
        <f aca="false">B185*'Correction factors'!$B$7</f>
        <v>967.8</v>
      </c>
      <c r="D185" s="13" t="n">
        <v>5.449183</v>
      </c>
      <c r="E185" s="14" t="n">
        <v>48</v>
      </c>
      <c r="F185" s="10" t="n">
        <f aca="false">E185/'Correction factors'!$B$10</f>
        <v>3.8712</v>
      </c>
      <c r="G185" s="11" t="n">
        <v>356</v>
      </c>
    </row>
    <row r="186" customFormat="false" ht="15" hidden="false" customHeight="false" outlineLevel="0" collapsed="false">
      <c r="A186" s="10" t="n">
        <v>39.4973156452179</v>
      </c>
      <c r="B186" s="11" t="n">
        <v>200</v>
      </c>
      <c r="C186" s="12" t="n">
        <f aca="false">B186*'Correction factors'!$B$7</f>
        <v>967.8</v>
      </c>
      <c r="D186" s="13" t="n">
        <v>5.439361</v>
      </c>
      <c r="E186" s="14" t="n">
        <v>56</v>
      </c>
      <c r="F186" s="10" t="n">
        <f aca="false">E186/'Correction factors'!$B$10</f>
        <v>4.5164</v>
      </c>
      <c r="G186" s="11" t="n">
        <v>356</v>
      </c>
    </row>
    <row r="187" customFormat="false" ht="15" hidden="false" customHeight="false" outlineLevel="0" collapsed="false">
      <c r="A187" s="10" t="n">
        <v>39.9660749435425</v>
      </c>
      <c r="B187" s="11" t="n">
        <v>200</v>
      </c>
      <c r="C187" s="12" t="n">
        <f aca="false">B187*'Correction factors'!$B$7</f>
        <v>967.8</v>
      </c>
      <c r="D187" s="13" t="n">
        <v>5.429539</v>
      </c>
      <c r="E187" s="14" t="n">
        <v>48</v>
      </c>
      <c r="F187" s="10" t="n">
        <f aca="false">E187/'Correction factors'!$B$10</f>
        <v>3.8712</v>
      </c>
      <c r="G187" s="11" t="n">
        <v>356</v>
      </c>
    </row>
    <row r="188" customFormat="false" ht="15" hidden="false" customHeight="false" outlineLevel="0" collapsed="false">
      <c r="A188" s="10" t="n">
        <v>39.9660749435425</v>
      </c>
      <c r="B188" s="11" t="n">
        <v>200</v>
      </c>
      <c r="C188" s="12" t="n">
        <f aca="false">B188*'Correction factors'!$B$7</f>
        <v>967.8</v>
      </c>
      <c r="D188" s="13" t="n">
        <v>5.429539</v>
      </c>
      <c r="E188" s="14" t="n">
        <v>48</v>
      </c>
      <c r="F188" s="10" t="n">
        <f aca="false">E188/'Correction factors'!$B$10</f>
        <v>3.8712</v>
      </c>
      <c r="G188" s="11" t="n">
        <v>356</v>
      </c>
    </row>
    <row r="189" customFormat="false" ht="15" hidden="false" customHeight="false" outlineLevel="0" collapsed="false">
      <c r="A189" s="10" t="n">
        <v>39.9660749435425</v>
      </c>
      <c r="B189" s="11" t="n">
        <v>180</v>
      </c>
      <c r="C189" s="12" t="n">
        <f aca="false">B189*'Correction factors'!$B$7</f>
        <v>871.02</v>
      </c>
      <c r="D189" s="13" t="n">
        <v>5.429539</v>
      </c>
      <c r="E189" s="14" t="n">
        <v>56</v>
      </c>
      <c r="F189" s="10" t="n">
        <f aca="false">E189/'Correction factors'!$B$10</f>
        <v>4.5164</v>
      </c>
      <c r="G189" s="11" t="n">
        <v>356</v>
      </c>
    </row>
    <row r="190" customFormat="false" ht="15" hidden="false" customHeight="false" outlineLevel="0" collapsed="false">
      <c r="A190" s="10" t="n">
        <v>40.4548668861389</v>
      </c>
      <c r="B190" s="11" t="n">
        <v>200</v>
      </c>
      <c r="C190" s="12" t="n">
        <f aca="false">B190*'Correction factors'!$B$7</f>
        <v>967.8</v>
      </c>
      <c r="D190" s="13" t="n">
        <v>5.419718</v>
      </c>
      <c r="E190" s="14" t="n">
        <v>48</v>
      </c>
      <c r="F190" s="10" t="n">
        <f aca="false">E190/'Correction factors'!$B$10</f>
        <v>3.8712</v>
      </c>
      <c r="G190" s="11" t="n">
        <v>358</v>
      </c>
    </row>
    <row r="191" customFormat="false" ht="15" hidden="false" customHeight="false" outlineLevel="0" collapsed="false">
      <c r="A191" s="10" t="n">
        <v>40.4548668861389</v>
      </c>
      <c r="B191" s="11" t="n">
        <v>200</v>
      </c>
      <c r="C191" s="12" t="n">
        <f aca="false">B191*'Correction factors'!$B$7</f>
        <v>967.8</v>
      </c>
      <c r="D191" s="13" t="n">
        <v>5.419718</v>
      </c>
      <c r="E191" s="14" t="n">
        <v>56</v>
      </c>
      <c r="F191" s="10" t="n">
        <f aca="false">E191/'Correction factors'!$B$10</f>
        <v>4.5164</v>
      </c>
      <c r="G191" s="11" t="n">
        <v>358</v>
      </c>
    </row>
    <row r="192" customFormat="false" ht="15" hidden="false" customHeight="false" outlineLevel="0" collapsed="false">
      <c r="A192" s="10" t="n">
        <v>40.9109098911285</v>
      </c>
      <c r="B192" s="11" t="n">
        <v>200</v>
      </c>
      <c r="C192" s="12" t="n">
        <f aca="false">B192*'Correction factors'!$B$7</f>
        <v>967.8</v>
      </c>
      <c r="D192" s="13" t="n">
        <v>5.419718</v>
      </c>
      <c r="E192" s="14" t="n">
        <v>48</v>
      </c>
      <c r="F192" s="10" t="n">
        <f aca="false">E192/'Correction factors'!$B$10</f>
        <v>3.8712</v>
      </c>
      <c r="G192" s="11" t="n">
        <v>356</v>
      </c>
    </row>
    <row r="193" customFormat="false" ht="15" hidden="false" customHeight="false" outlineLevel="0" collapsed="false">
      <c r="A193" s="10" t="n">
        <v>40.9109098911285</v>
      </c>
      <c r="B193" s="11" t="n">
        <v>200</v>
      </c>
      <c r="C193" s="12" t="n">
        <f aca="false">B193*'Correction factors'!$B$7</f>
        <v>967.8</v>
      </c>
      <c r="D193" s="13" t="n">
        <v>5.400074</v>
      </c>
      <c r="E193" s="14" t="n">
        <v>56</v>
      </c>
      <c r="F193" s="10" t="n">
        <f aca="false">E193/'Correction factors'!$B$10</f>
        <v>4.5164</v>
      </c>
      <c r="G193" s="11" t="n">
        <v>356</v>
      </c>
    </row>
    <row r="194" customFormat="false" ht="15" hidden="false" customHeight="false" outlineLevel="0" collapsed="false">
      <c r="A194" s="10" t="n">
        <v>41.3572218418121</v>
      </c>
      <c r="B194" s="11" t="n">
        <v>220</v>
      </c>
      <c r="C194" s="12" t="n">
        <f aca="false">B194*'Correction factors'!$B$7</f>
        <v>1064.58</v>
      </c>
      <c r="D194" s="13" t="n">
        <v>5.400074</v>
      </c>
      <c r="E194" s="14" t="n">
        <v>48</v>
      </c>
      <c r="F194" s="10" t="n">
        <f aca="false">E194/'Correction factors'!$B$10</f>
        <v>3.8712</v>
      </c>
      <c r="G194" s="11" t="n">
        <v>356</v>
      </c>
    </row>
    <row r="195" customFormat="false" ht="15" hidden="false" customHeight="false" outlineLevel="0" collapsed="false">
      <c r="A195" s="10" t="n">
        <v>41.3572218418121</v>
      </c>
      <c r="B195" s="11" t="n">
        <v>200</v>
      </c>
      <c r="C195" s="12" t="n">
        <f aca="false">B195*'Correction factors'!$B$7</f>
        <v>967.8</v>
      </c>
      <c r="D195" s="13" t="n">
        <v>5.400074</v>
      </c>
      <c r="E195" s="14" t="n">
        <v>56</v>
      </c>
      <c r="F195" s="10" t="n">
        <f aca="false">E195/'Correction factors'!$B$10</f>
        <v>4.5164</v>
      </c>
      <c r="G195" s="11" t="n">
        <v>355</v>
      </c>
    </row>
    <row r="196" customFormat="false" ht="15" hidden="false" customHeight="false" outlineLevel="0" collapsed="false">
      <c r="A196" s="10" t="n">
        <v>41.8060958385468</v>
      </c>
      <c r="B196" s="11" t="n">
        <v>200</v>
      </c>
      <c r="C196" s="12" t="n">
        <f aca="false">B196*'Correction factors'!$B$7</f>
        <v>967.8</v>
      </c>
      <c r="D196" s="13" t="n">
        <v>5.390253</v>
      </c>
      <c r="E196" s="14" t="n">
        <v>48</v>
      </c>
      <c r="F196" s="10" t="n">
        <f aca="false">E196/'Correction factors'!$B$10</f>
        <v>3.8712</v>
      </c>
      <c r="G196" s="11" t="n">
        <v>355</v>
      </c>
    </row>
    <row r="197" customFormat="false" ht="15" hidden="false" customHeight="false" outlineLevel="0" collapsed="false">
      <c r="A197" s="10" t="n">
        <v>41.8060958385468</v>
      </c>
      <c r="B197" s="11" t="n">
        <v>200</v>
      </c>
      <c r="C197" s="12" t="n">
        <f aca="false">B197*'Correction factors'!$B$7</f>
        <v>967.8</v>
      </c>
      <c r="D197" s="13" t="n">
        <v>5.390253</v>
      </c>
      <c r="E197" s="14" t="n">
        <v>48</v>
      </c>
      <c r="F197" s="10" t="n">
        <f aca="false">E197/'Correction factors'!$B$10</f>
        <v>3.8712</v>
      </c>
      <c r="G197" s="11" t="n">
        <v>355</v>
      </c>
    </row>
    <row r="198" customFormat="false" ht="15" hidden="false" customHeight="false" outlineLevel="0" collapsed="false">
      <c r="A198" s="10" t="n">
        <v>41.8060958385468</v>
      </c>
      <c r="B198" s="11" t="n">
        <v>200</v>
      </c>
      <c r="C198" s="12" t="n">
        <f aca="false">B198*'Correction factors'!$B$7</f>
        <v>967.8</v>
      </c>
      <c r="D198" s="13" t="n">
        <v>5.400074</v>
      </c>
      <c r="E198" s="14" t="n">
        <v>56</v>
      </c>
      <c r="F198" s="10" t="n">
        <f aca="false">E198/'Correction factors'!$B$10</f>
        <v>4.5164</v>
      </c>
      <c r="G198" s="11" t="n">
        <v>355</v>
      </c>
    </row>
    <row r="199" customFormat="false" ht="15" hidden="false" customHeight="false" outlineLevel="0" collapsed="false">
      <c r="A199" s="10" t="n">
        <v>42.3304483890533</v>
      </c>
      <c r="B199" s="11" t="n">
        <v>200</v>
      </c>
      <c r="C199" s="12" t="n">
        <f aca="false">B199*'Correction factors'!$B$7</f>
        <v>967.8</v>
      </c>
      <c r="D199" s="13" t="n">
        <v>5.390253</v>
      </c>
      <c r="E199" s="14" t="n">
        <v>48</v>
      </c>
      <c r="F199" s="10" t="n">
        <f aca="false">E199/'Correction factors'!$B$10</f>
        <v>3.8712</v>
      </c>
      <c r="G199" s="11" t="n">
        <v>355</v>
      </c>
    </row>
    <row r="200" customFormat="false" ht="15" hidden="false" customHeight="false" outlineLevel="0" collapsed="false">
      <c r="A200" s="10" t="n">
        <v>42.3304483890533</v>
      </c>
      <c r="B200" s="11" t="n">
        <v>200</v>
      </c>
      <c r="C200" s="12" t="n">
        <f aca="false">B200*'Correction factors'!$B$7</f>
        <v>967.8</v>
      </c>
      <c r="D200" s="13" t="n">
        <v>5.380431</v>
      </c>
      <c r="E200" s="14" t="n">
        <v>56</v>
      </c>
      <c r="F200" s="10" t="n">
        <f aca="false">E200/'Correction factors'!$B$10</f>
        <v>4.5164</v>
      </c>
      <c r="G200" s="11" t="n">
        <v>355</v>
      </c>
    </row>
    <row r="201" customFormat="false" ht="15" hidden="false" customHeight="false" outlineLevel="0" collapsed="false">
      <c r="A201" s="10" t="n">
        <v>42.7795126438141</v>
      </c>
      <c r="B201" s="11" t="n">
        <v>200</v>
      </c>
      <c r="C201" s="12" t="n">
        <f aca="false">B201*'Correction factors'!$B$7</f>
        <v>967.8</v>
      </c>
      <c r="D201" s="13" t="n">
        <v>5.380431</v>
      </c>
      <c r="E201" s="14" t="n">
        <v>48</v>
      </c>
      <c r="F201" s="10" t="n">
        <f aca="false">E201/'Correction factors'!$B$10</f>
        <v>3.8712</v>
      </c>
      <c r="G201" s="11" t="n">
        <v>355</v>
      </c>
    </row>
    <row r="202" customFormat="false" ht="15" hidden="false" customHeight="false" outlineLevel="0" collapsed="false">
      <c r="A202" s="10" t="n">
        <v>42.7795126438141</v>
      </c>
      <c r="B202" s="11" t="n">
        <v>200</v>
      </c>
      <c r="C202" s="12" t="n">
        <f aca="false">B202*'Correction factors'!$B$7</f>
        <v>967.8</v>
      </c>
      <c r="D202" s="13" t="n">
        <v>5.37061</v>
      </c>
      <c r="E202" s="14" t="n">
        <v>56</v>
      </c>
      <c r="F202" s="10" t="n">
        <f aca="false">E202/'Correction factors'!$B$10</f>
        <v>4.5164</v>
      </c>
      <c r="G202" s="11" t="n">
        <v>355</v>
      </c>
    </row>
    <row r="203" customFormat="false" ht="15" hidden="false" customHeight="false" outlineLevel="0" collapsed="false">
      <c r="A203" s="10" t="n">
        <v>43.2255423069</v>
      </c>
      <c r="B203" s="11" t="n">
        <v>200</v>
      </c>
      <c r="C203" s="12" t="n">
        <f aca="false">B203*'Correction factors'!$B$7</f>
        <v>967.8</v>
      </c>
      <c r="D203" s="13" t="n">
        <v>5.37061</v>
      </c>
      <c r="E203" s="14" t="n">
        <v>56</v>
      </c>
      <c r="F203" s="10" t="n">
        <f aca="false">E203/'Correction factors'!$B$10</f>
        <v>4.5164</v>
      </c>
      <c r="G203" s="11" t="n">
        <v>355</v>
      </c>
    </row>
    <row r="204" customFormat="false" ht="15" hidden="false" customHeight="false" outlineLevel="0" collapsed="false">
      <c r="A204" s="10" t="n">
        <v>43.2255423069</v>
      </c>
      <c r="B204" s="11" t="n">
        <v>200</v>
      </c>
      <c r="C204" s="12" t="n">
        <f aca="false">B204*'Correction factors'!$B$7</f>
        <v>967.8</v>
      </c>
      <c r="D204" s="13" t="n">
        <v>5.37061</v>
      </c>
      <c r="E204" s="14" t="n">
        <v>48</v>
      </c>
      <c r="F204" s="10" t="n">
        <f aca="false">E204/'Correction factors'!$B$10</f>
        <v>3.8712</v>
      </c>
      <c r="G204" s="11" t="n">
        <v>355</v>
      </c>
    </row>
    <row r="205" customFormat="false" ht="15" hidden="false" customHeight="false" outlineLevel="0" collapsed="false">
      <c r="A205" s="10" t="n">
        <v>43.6806826591492</v>
      </c>
      <c r="B205" s="11" t="n">
        <v>200</v>
      </c>
      <c r="C205" s="12" t="n">
        <f aca="false">B205*'Correction factors'!$B$7</f>
        <v>967.8</v>
      </c>
      <c r="D205" s="13" t="n">
        <v>5.360788</v>
      </c>
      <c r="E205" s="14" t="n">
        <v>56</v>
      </c>
      <c r="F205" s="10" t="n">
        <f aca="false">E205/'Correction factors'!$B$10</f>
        <v>4.5164</v>
      </c>
      <c r="G205" s="11" t="n">
        <v>355</v>
      </c>
    </row>
    <row r="206" customFormat="false" ht="15" hidden="false" customHeight="false" outlineLevel="0" collapsed="false">
      <c r="A206" s="10" t="n">
        <v>43.6806826591492</v>
      </c>
      <c r="B206" s="11" t="n">
        <v>200</v>
      </c>
      <c r="C206" s="12" t="n">
        <f aca="false">B206*'Correction factors'!$B$7</f>
        <v>967.8</v>
      </c>
      <c r="D206" s="13" t="n">
        <v>5.360788</v>
      </c>
      <c r="E206" s="14" t="n">
        <v>48</v>
      </c>
      <c r="F206" s="10" t="n">
        <f aca="false">E206/'Correction factors'!$B$10</f>
        <v>3.8712</v>
      </c>
      <c r="G206" s="11" t="n">
        <v>355</v>
      </c>
    </row>
    <row r="207" customFormat="false" ht="15" hidden="false" customHeight="false" outlineLevel="0" collapsed="false">
      <c r="A207" s="10" t="n">
        <v>43.6806826591492</v>
      </c>
      <c r="B207" s="11" t="n">
        <v>200</v>
      </c>
      <c r="C207" s="12" t="n">
        <f aca="false">B207*'Correction factors'!$B$7</f>
        <v>967.8</v>
      </c>
      <c r="D207" s="13" t="n">
        <v>5.37061</v>
      </c>
      <c r="E207" s="14" t="n">
        <v>56</v>
      </c>
      <c r="F207" s="10" t="n">
        <f aca="false">E207/'Correction factors'!$B$10</f>
        <v>4.5164</v>
      </c>
      <c r="G207" s="11" t="n">
        <v>355</v>
      </c>
    </row>
    <row r="208" customFormat="false" ht="15" hidden="false" customHeight="false" outlineLevel="0" collapsed="false">
      <c r="A208" s="10" t="n">
        <v>44.1567902565002</v>
      </c>
      <c r="B208" s="11" t="n">
        <v>200</v>
      </c>
      <c r="C208" s="12" t="n">
        <f aca="false">B208*'Correction factors'!$B$7</f>
        <v>967.8</v>
      </c>
      <c r="D208" s="13" t="n">
        <v>5.360788</v>
      </c>
      <c r="E208" s="14" t="n">
        <v>56</v>
      </c>
      <c r="F208" s="10" t="n">
        <f aca="false">E208/'Correction factors'!$B$10</f>
        <v>4.5164</v>
      </c>
      <c r="G208" s="11" t="n">
        <v>355</v>
      </c>
    </row>
    <row r="209" customFormat="false" ht="15" hidden="false" customHeight="false" outlineLevel="0" collapsed="false">
      <c r="A209" s="10" t="n">
        <v>44.1567902565002</v>
      </c>
      <c r="B209" s="11" t="n">
        <v>180</v>
      </c>
      <c r="C209" s="12" t="n">
        <f aca="false">B209*'Correction factors'!$B$7</f>
        <v>871.02</v>
      </c>
      <c r="D209" s="13" t="n">
        <v>5.350966</v>
      </c>
      <c r="E209" s="14" t="n">
        <v>48</v>
      </c>
      <c r="F209" s="10" t="n">
        <f aca="false">E209/'Correction factors'!$B$10</f>
        <v>3.8712</v>
      </c>
      <c r="G209" s="11" t="n">
        <v>355</v>
      </c>
    </row>
    <row r="210" customFormat="false" ht="15" hidden="false" customHeight="false" outlineLevel="0" collapsed="false">
      <c r="A210" s="10" t="n">
        <v>44.6040940284729</v>
      </c>
      <c r="B210" s="11" t="n">
        <v>180</v>
      </c>
      <c r="C210" s="12" t="n">
        <f aca="false">B210*'Correction factors'!$B$7</f>
        <v>871.02</v>
      </c>
      <c r="D210" s="13" t="n">
        <v>5.350966</v>
      </c>
      <c r="E210" s="14" t="n">
        <v>56</v>
      </c>
      <c r="F210" s="10" t="n">
        <f aca="false">E210/'Correction factors'!$B$10</f>
        <v>4.5164</v>
      </c>
      <c r="G210" s="11" t="n">
        <v>358</v>
      </c>
    </row>
    <row r="211" customFormat="false" ht="15" hidden="false" customHeight="false" outlineLevel="0" collapsed="false">
      <c r="A211" s="10" t="n">
        <v>44.6040940284729</v>
      </c>
      <c r="B211" s="11" t="n">
        <v>220</v>
      </c>
      <c r="C211" s="12" t="n">
        <f aca="false">B211*'Correction factors'!$B$7</f>
        <v>1064.58</v>
      </c>
      <c r="D211" s="13" t="n">
        <v>5.350966</v>
      </c>
      <c r="E211" s="14" t="n">
        <v>56</v>
      </c>
      <c r="F211" s="10" t="n">
        <f aca="false">E211/'Correction factors'!$B$10</f>
        <v>4.5164</v>
      </c>
      <c r="G211" s="11" t="n">
        <v>358</v>
      </c>
    </row>
    <row r="212" customFormat="false" ht="15" hidden="false" customHeight="false" outlineLevel="0" collapsed="false">
      <c r="A212" s="10" t="n">
        <v>45.0544607639313</v>
      </c>
      <c r="B212" s="11" t="n">
        <v>200</v>
      </c>
      <c r="C212" s="12" t="n">
        <f aca="false">B212*'Correction factors'!$B$7</f>
        <v>967.8</v>
      </c>
      <c r="D212" s="13" t="n">
        <v>5.331323</v>
      </c>
      <c r="E212" s="14" t="n">
        <v>48</v>
      </c>
      <c r="F212" s="10" t="n">
        <f aca="false">E212/'Correction factors'!$B$10</f>
        <v>3.8712</v>
      </c>
      <c r="G212" s="11" t="n">
        <v>352</v>
      </c>
    </row>
    <row r="213" customFormat="false" ht="15" hidden="false" customHeight="false" outlineLevel="0" collapsed="false">
      <c r="A213" s="10" t="n">
        <v>45.0544607639313</v>
      </c>
      <c r="B213" s="11" t="n">
        <v>180</v>
      </c>
      <c r="C213" s="12" t="n">
        <f aca="false">B213*'Correction factors'!$B$7</f>
        <v>871.02</v>
      </c>
      <c r="D213" s="13" t="n">
        <v>5.331323</v>
      </c>
      <c r="E213" s="14" t="n">
        <v>56</v>
      </c>
      <c r="F213" s="10" t="n">
        <f aca="false">E213/'Correction factors'!$B$10</f>
        <v>4.5164</v>
      </c>
      <c r="G213" s="11" t="n">
        <v>354</v>
      </c>
    </row>
    <row r="214" customFormat="false" ht="15" hidden="false" customHeight="false" outlineLevel="0" collapsed="false">
      <c r="A214" s="10" t="n">
        <v>45.4718887805939</v>
      </c>
      <c r="B214" s="11" t="n">
        <v>180</v>
      </c>
      <c r="C214" s="12" t="n">
        <f aca="false">B214*'Correction factors'!$B$7</f>
        <v>871.02</v>
      </c>
      <c r="D214" s="13" t="n">
        <v>5.331323</v>
      </c>
      <c r="E214" s="14" t="n">
        <v>48</v>
      </c>
      <c r="F214" s="10" t="n">
        <f aca="false">E214/'Correction factors'!$B$10</f>
        <v>3.8712</v>
      </c>
      <c r="G214" s="11" t="n">
        <v>358</v>
      </c>
    </row>
    <row r="215" customFormat="false" ht="15" hidden="false" customHeight="false" outlineLevel="0" collapsed="false">
      <c r="A215" s="10" t="n">
        <v>45.4718887805939</v>
      </c>
      <c r="B215" s="11" t="n">
        <v>200</v>
      </c>
      <c r="C215" s="12" t="n">
        <f aca="false">B215*'Correction factors'!$B$7</f>
        <v>967.8</v>
      </c>
      <c r="D215" s="13" t="n">
        <v>5.321502</v>
      </c>
      <c r="E215" s="14" t="n">
        <v>56</v>
      </c>
      <c r="F215" s="10" t="n">
        <f aca="false">E215/'Correction factors'!$B$10</f>
        <v>4.5164</v>
      </c>
      <c r="G215" s="11" t="n">
        <v>358</v>
      </c>
    </row>
    <row r="216" customFormat="false" ht="15" hidden="false" customHeight="false" outlineLevel="0" collapsed="false">
      <c r="A216" s="10" t="n">
        <v>45.8914976119995</v>
      </c>
      <c r="B216" s="11" t="n">
        <v>200</v>
      </c>
      <c r="C216" s="12" t="n">
        <f aca="false">B216*'Correction factors'!$B$7</f>
        <v>967.8</v>
      </c>
      <c r="D216" s="13" t="n">
        <v>5.31168</v>
      </c>
      <c r="E216" s="14" t="n">
        <v>56</v>
      </c>
      <c r="F216" s="10" t="n">
        <f aca="false">E216/'Correction factors'!$B$10</f>
        <v>4.5164</v>
      </c>
      <c r="G216" s="11" t="n">
        <v>358</v>
      </c>
    </row>
    <row r="217" customFormat="false" ht="15" hidden="false" customHeight="false" outlineLevel="0" collapsed="false">
      <c r="A217" s="10" t="n">
        <v>45.8914976119995</v>
      </c>
      <c r="B217" s="11" t="n">
        <v>200</v>
      </c>
      <c r="C217" s="12" t="n">
        <f aca="false">B217*'Correction factors'!$B$7</f>
        <v>967.8</v>
      </c>
      <c r="D217" s="13" t="n">
        <v>5.31168</v>
      </c>
      <c r="E217" s="14" t="n">
        <v>56</v>
      </c>
      <c r="F217" s="10" t="n">
        <f aca="false">E217/'Correction factors'!$B$10</f>
        <v>4.5164</v>
      </c>
      <c r="G217" s="11" t="n">
        <v>358</v>
      </c>
    </row>
    <row r="218" customFormat="false" ht="15" hidden="false" customHeight="false" outlineLevel="0" collapsed="false">
      <c r="A218" s="10" t="n">
        <v>46.3084614276886</v>
      </c>
      <c r="B218" s="11" t="n">
        <v>200</v>
      </c>
      <c r="C218" s="12" t="n">
        <f aca="false">B218*'Correction factors'!$B$7</f>
        <v>967.8</v>
      </c>
      <c r="D218" s="13" t="n">
        <v>5.301858</v>
      </c>
      <c r="E218" s="14" t="n">
        <v>56</v>
      </c>
      <c r="F218" s="10" t="n">
        <f aca="false">E218/'Correction factors'!$B$10</f>
        <v>4.5164</v>
      </c>
      <c r="G218" s="11" t="n">
        <v>358</v>
      </c>
    </row>
    <row r="219" customFormat="false" ht="15" hidden="false" customHeight="false" outlineLevel="0" collapsed="false">
      <c r="A219" s="10" t="n">
        <v>46.3084614276886</v>
      </c>
      <c r="B219" s="11" t="n">
        <v>220</v>
      </c>
      <c r="C219" s="12" t="n">
        <f aca="false">B219*'Correction factors'!$B$7</f>
        <v>1064.58</v>
      </c>
      <c r="D219" s="13" t="n">
        <v>5.292037</v>
      </c>
      <c r="E219" s="14" t="n">
        <v>48</v>
      </c>
      <c r="F219" s="10" t="n">
        <f aca="false">E219/'Correction factors'!$B$10</f>
        <v>3.8712</v>
      </c>
      <c r="G219" s="11" t="n">
        <v>358</v>
      </c>
    </row>
    <row r="220" customFormat="false" ht="15" hidden="false" customHeight="false" outlineLevel="0" collapsed="false">
      <c r="A220" s="10" t="n">
        <v>46.7543931007385</v>
      </c>
      <c r="B220" s="11" t="n">
        <v>200</v>
      </c>
      <c r="C220" s="12" t="n">
        <f aca="false">B220*'Correction factors'!$B$7</f>
        <v>967.8</v>
      </c>
      <c r="D220" s="13" t="n">
        <v>5.282216</v>
      </c>
      <c r="E220" s="14" t="n">
        <v>56</v>
      </c>
      <c r="F220" s="10" t="n">
        <f aca="false">E220/'Correction factors'!$B$10</f>
        <v>4.5164</v>
      </c>
      <c r="G220" s="11" t="n">
        <v>354</v>
      </c>
    </row>
    <row r="221" customFormat="false" ht="15" hidden="false" customHeight="false" outlineLevel="0" collapsed="false">
      <c r="A221" s="10" t="n">
        <v>46.7543931007385</v>
      </c>
      <c r="B221" s="11" t="n">
        <v>200</v>
      </c>
      <c r="C221" s="12" t="n">
        <f aca="false">B221*'Correction factors'!$B$7</f>
        <v>967.8</v>
      </c>
      <c r="D221" s="13" t="n">
        <v>5.272394</v>
      </c>
      <c r="E221" s="14" t="n">
        <v>56</v>
      </c>
      <c r="F221" s="10" t="n">
        <f aca="false">E221/'Correction factors'!$B$10</f>
        <v>4.5164</v>
      </c>
      <c r="G221" s="11" t="n">
        <v>355</v>
      </c>
    </row>
    <row r="222" customFormat="false" ht="15" hidden="false" customHeight="false" outlineLevel="0" collapsed="false">
      <c r="A222" s="10" t="n">
        <v>46.7543931007385</v>
      </c>
      <c r="B222" s="11" t="n">
        <v>200</v>
      </c>
      <c r="C222" s="12" t="n">
        <f aca="false">B222*'Correction factors'!$B$7</f>
        <v>967.8</v>
      </c>
      <c r="D222" s="13" t="n">
        <v>5.272394</v>
      </c>
      <c r="E222" s="14" t="n">
        <v>56</v>
      </c>
      <c r="F222" s="10" t="n">
        <f aca="false">E222/'Correction factors'!$B$10</f>
        <v>4.5164</v>
      </c>
      <c r="G222" s="11" t="n">
        <v>356</v>
      </c>
    </row>
    <row r="223" customFormat="false" ht="15" hidden="false" customHeight="false" outlineLevel="0" collapsed="false">
      <c r="A223" s="10" t="n">
        <v>47.2322812080383</v>
      </c>
      <c r="B223" s="11" t="n">
        <v>180</v>
      </c>
      <c r="C223" s="12" t="n">
        <f aca="false">B223*'Correction factors'!$B$7</f>
        <v>871.02</v>
      </c>
      <c r="D223" s="13" t="n">
        <v>5.272394</v>
      </c>
      <c r="E223" s="14" t="n">
        <v>48</v>
      </c>
      <c r="F223" s="10" t="n">
        <f aca="false">E223/'Correction factors'!$B$10</f>
        <v>3.8712</v>
      </c>
      <c r="G223" s="11" t="n">
        <v>356</v>
      </c>
    </row>
    <row r="224" customFormat="false" ht="15" hidden="false" customHeight="false" outlineLevel="0" collapsed="false">
      <c r="A224" s="10" t="n">
        <v>47.2322812080383</v>
      </c>
      <c r="B224" s="11" t="n">
        <v>180</v>
      </c>
      <c r="C224" s="12" t="n">
        <f aca="false">B224*'Correction factors'!$B$7</f>
        <v>871.02</v>
      </c>
      <c r="D224" s="13" t="n">
        <v>5.272394</v>
      </c>
      <c r="E224" s="14" t="n">
        <v>56</v>
      </c>
      <c r="F224" s="10" t="n">
        <f aca="false">E224/'Correction factors'!$B$10</f>
        <v>4.5164</v>
      </c>
      <c r="G224" s="11" t="n">
        <v>357</v>
      </c>
    </row>
    <row r="225" customFormat="false" ht="15" hidden="false" customHeight="false" outlineLevel="0" collapsed="false">
      <c r="A225" s="10" t="n">
        <v>47.649596452713</v>
      </c>
      <c r="B225" s="11" t="n">
        <v>180</v>
      </c>
      <c r="C225" s="12" t="n">
        <f aca="false">B225*'Correction factors'!$B$7</f>
        <v>871.02</v>
      </c>
      <c r="D225" s="13" t="n">
        <v>5.272394</v>
      </c>
      <c r="E225" s="14" t="n">
        <v>48</v>
      </c>
      <c r="F225" s="10" t="n">
        <f aca="false">E225/'Correction factors'!$B$10</f>
        <v>3.8712</v>
      </c>
      <c r="G225" s="11" t="n">
        <v>358</v>
      </c>
    </row>
    <row r="226" customFormat="false" ht="15" hidden="false" customHeight="false" outlineLevel="0" collapsed="false">
      <c r="A226" s="10" t="n">
        <v>47.649596452713</v>
      </c>
      <c r="B226" s="11" t="n">
        <v>180</v>
      </c>
      <c r="C226" s="12" t="n">
        <f aca="false">B226*'Correction factors'!$B$7</f>
        <v>871.02</v>
      </c>
      <c r="D226" s="13" t="n">
        <v>5.262572</v>
      </c>
      <c r="E226" s="14" t="n">
        <v>56</v>
      </c>
      <c r="F226" s="10" t="n">
        <f aca="false">E226/'Correction factors'!$B$10</f>
        <v>4.5164</v>
      </c>
      <c r="G226" s="11" t="n">
        <v>359</v>
      </c>
    </row>
    <row r="227" customFormat="false" ht="15" hidden="false" customHeight="false" outlineLevel="0" collapsed="false">
      <c r="A227" s="10" t="n">
        <v>48.0658884048462</v>
      </c>
      <c r="B227" s="11" t="n">
        <v>200</v>
      </c>
      <c r="C227" s="12" t="n">
        <f aca="false">B227*'Correction factors'!$B$7</f>
        <v>967.8</v>
      </c>
      <c r="D227" s="13" t="n">
        <v>5.262572</v>
      </c>
      <c r="E227" s="14" t="n">
        <v>56</v>
      </c>
      <c r="F227" s="10" t="n">
        <f aca="false">E227/'Correction factors'!$B$10</f>
        <v>4.5164</v>
      </c>
      <c r="G227" s="11" t="n">
        <v>360</v>
      </c>
    </row>
    <row r="228" customFormat="false" ht="15" hidden="false" customHeight="false" outlineLevel="0" collapsed="false">
      <c r="A228" s="10" t="n">
        <v>48.0658884048462</v>
      </c>
      <c r="B228" s="11" t="n">
        <v>200</v>
      </c>
      <c r="C228" s="12" t="n">
        <f aca="false">B228*'Correction factors'!$B$7</f>
        <v>967.8</v>
      </c>
      <c r="D228" s="13" t="n">
        <v>5.252751</v>
      </c>
      <c r="E228" s="14" t="n">
        <v>56</v>
      </c>
      <c r="F228" s="10" t="n">
        <f aca="false">E228/'Correction factors'!$B$10</f>
        <v>4.5164</v>
      </c>
      <c r="G228" s="11" t="n">
        <v>360</v>
      </c>
    </row>
    <row r="229" customFormat="false" ht="15" hidden="false" customHeight="false" outlineLevel="0" collapsed="false">
      <c r="A229" s="10" t="n">
        <v>48.4800658226013</v>
      </c>
      <c r="B229" s="11" t="n">
        <v>200</v>
      </c>
      <c r="C229" s="12" t="n">
        <f aca="false">B229*'Correction factors'!$B$7</f>
        <v>967.8</v>
      </c>
      <c r="D229" s="13" t="n">
        <v>5.262572</v>
      </c>
      <c r="E229" s="14" t="n">
        <v>48</v>
      </c>
      <c r="F229" s="10" t="n">
        <f aca="false">E229/'Correction factors'!$B$10</f>
        <v>3.8712</v>
      </c>
      <c r="G229" s="11" t="n">
        <v>359</v>
      </c>
    </row>
    <row r="230" customFormat="false" ht="15" hidden="false" customHeight="false" outlineLevel="0" collapsed="false">
      <c r="A230" s="10" t="n">
        <v>48.4800658226013</v>
      </c>
      <c r="B230" s="11" t="n">
        <v>200</v>
      </c>
      <c r="C230" s="12" t="n">
        <f aca="false">B230*'Correction factors'!$B$7</f>
        <v>967.8</v>
      </c>
      <c r="D230" s="13" t="n">
        <v>5.242929</v>
      </c>
      <c r="E230" s="14" t="n">
        <v>56</v>
      </c>
      <c r="F230" s="10" t="n">
        <f aca="false">E230/'Correction factors'!$B$10</f>
        <v>4.5164</v>
      </c>
      <c r="G230" s="11" t="n">
        <v>359</v>
      </c>
    </row>
    <row r="231" customFormat="false" ht="15" hidden="false" customHeight="false" outlineLevel="0" collapsed="false">
      <c r="A231" s="10" t="n">
        <v>48.8970563411713</v>
      </c>
      <c r="B231" s="11" t="n">
        <v>200</v>
      </c>
      <c r="C231" s="12" t="n">
        <f aca="false">B231*'Correction factors'!$B$7</f>
        <v>967.8</v>
      </c>
      <c r="D231" s="13" t="n">
        <v>5.233108</v>
      </c>
      <c r="E231" s="14" t="n">
        <v>56</v>
      </c>
      <c r="F231" s="10" t="n">
        <f aca="false">E231/'Correction factors'!$B$10</f>
        <v>4.5164</v>
      </c>
      <c r="G231" s="11" t="n">
        <v>359</v>
      </c>
    </row>
    <row r="232" customFormat="false" ht="15" hidden="false" customHeight="false" outlineLevel="0" collapsed="false">
      <c r="A232" s="10" t="n">
        <v>48.8970563411713</v>
      </c>
      <c r="B232" s="11" t="n">
        <v>200</v>
      </c>
      <c r="C232" s="12" t="n">
        <f aca="false">B232*'Correction factors'!$B$7</f>
        <v>967.8</v>
      </c>
      <c r="D232" s="13" t="n">
        <v>5.233108</v>
      </c>
      <c r="E232" s="14" t="n">
        <v>56</v>
      </c>
      <c r="F232" s="10" t="n">
        <f aca="false">E232/'Correction factors'!$B$10</f>
        <v>4.5164</v>
      </c>
      <c r="G232" s="11" t="n">
        <v>359</v>
      </c>
    </row>
    <row r="233" customFormat="false" ht="15" hidden="false" customHeight="false" outlineLevel="0" collapsed="false">
      <c r="A233" s="10" t="n">
        <v>49.3117170333862</v>
      </c>
      <c r="B233" s="11" t="n">
        <v>200</v>
      </c>
      <c r="C233" s="12" t="n">
        <f aca="false">B233*'Correction factors'!$B$7</f>
        <v>967.8</v>
      </c>
      <c r="D233" s="13" t="n">
        <v>5.223286</v>
      </c>
      <c r="E233" s="14" t="n">
        <v>56</v>
      </c>
      <c r="F233" s="10" t="n">
        <f aca="false">E233/'Correction factors'!$B$10</f>
        <v>4.5164</v>
      </c>
      <c r="G233" s="11" t="n">
        <v>359</v>
      </c>
    </row>
    <row r="234" customFormat="false" ht="15" hidden="false" customHeight="false" outlineLevel="0" collapsed="false">
      <c r="A234" s="10" t="n">
        <v>49.3117170333862</v>
      </c>
      <c r="B234" s="11" t="n">
        <v>200</v>
      </c>
      <c r="C234" s="12" t="n">
        <f aca="false">B234*'Correction factors'!$B$7</f>
        <v>967.8</v>
      </c>
      <c r="D234" s="13" t="n">
        <v>5.233108</v>
      </c>
      <c r="E234" s="14" t="n">
        <v>48</v>
      </c>
      <c r="F234" s="10" t="n">
        <f aca="false">E234/'Correction factors'!$B$10</f>
        <v>3.8712</v>
      </c>
      <c r="G234" s="11" t="n">
        <v>359</v>
      </c>
    </row>
    <row r="235" customFormat="false" ht="15" hidden="false" customHeight="false" outlineLevel="0" collapsed="false">
      <c r="A235" s="10" t="n">
        <v>49.7306501865387</v>
      </c>
      <c r="B235" s="11" t="n">
        <v>180</v>
      </c>
      <c r="C235" s="12" t="n">
        <f aca="false">B235*'Correction factors'!$B$7</f>
        <v>871.02</v>
      </c>
      <c r="D235" s="13" t="n">
        <v>5.213464</v>
      </c>
      <c r="E235" s="14" t="n">
        <v>56</v>
      </c>
      <c r="F235" s="10" t="n">
        <f aca="false">E235/'Correction factors'!$B$10</f>
        <v>4.5164</v>
      </c>
      <c r="G235" s="11" t="n">
        <v>359</v>
      </c>
    </row>
    <row r="236" customFormat="false" ht="15" hidden="false" customHeight="false" outlineLevel="0" collapsed="false">
      <c r="A236" s="10" t="n">
        <v>49.7306501865387</v>
      </c>
      <c r="B236" s="11" t="n">
        <v>180</v>
      </c>
      <c r="C236" s="12" t="n">
        <f aca="false">B236*'Correction factors'!$B$7</f>
        <v>871.02</v>
      </c>
      <c r="D236" s="13" t="n">
        <v>5.213464</v>
      </c>
      <c r="E236" s="14" t="n">
        <v>56</v>
      </c>
      <c r="F236" s="10" t="n">
        <f aca="false">E236/'Correction factors'!$B$10</f>
        <v>4.5164</v>
      </c>
      <c r="G236" s="11" t="n">
        <v>359</v>
      </c>
    </row>
    <row r="237" customFormat="false" ht="15" hidden="false" customHeight="false" outlineLevel="0" collapsed="false">
      <c r="A237" s="10" t="n">
        <v>50.1454434394836</v>
      </c>
      <c r="B237" s="11" t="n">
        <v>200</v>
      </c>
      <c r="C237" s="12" t="n">
        <f aca="false">B237*'Correction factors'!$B$7</f>
        <v>967.8</v>
      </c>
      <c r="D237" s="13" t="n">
        <v>5.203642</v>
      </c>
      <c r="E237" s="14" t="n">
        <v>56</v>
      </c>
      <c r="F237" s="10" t="n">
        <f aca="false">E237/'Correction factors'!$B$10</f>
        <v>4.5164</v>
      </c>
      <c r="G237" s="11" t="n">
        <v>362</v>
      </c>
    </row>
    <row r="238" customFormat="false" ht="15" hidden="false" customHeight="false" outlineLevel="0" collapsed="false">
      <c r="A238" s="10" t="n">
        <v>50.1454434394836</v>
      </c>
      <c r="B238" s="11" t="n">
        <v>200</v>
      </c>
      <c r="C238" s="12" t="n">
        <f aca="false">B238*'Correction factors'!$B$7</f>
        <v>967.8</v>
      </c>
      <c r="D238" s="13" t="n">
        <v>5.193821</v>
      </c>
      <c r="E238" s="14" t="n">
        <v>56</v>
      </c>
      <c r="F238" s="10" t="n">
        <f aca="false">E238/'Correction factors'!$B$10</f>
        <v>4.5164</v>
      </c>
      <c r="G238" s="11" t="n">
        <v>362</v>
      </c>
    </row>
    <row r="239" customFormat="false" ht="15" hidden="false" customHeight="false" outlineLevel="0" collapsed="false">
      <c r="A239" s="10" t="n">
        <v>50.5748703479767</v>
      </c>
      <c r="B239" s="11" t="n">
        <v>200</v>
      </c>
      <c r="C239" s="12" t="n">
        <f aca="false">B239*'Correction factors'!$B$7</f>
        <v>967.8</v>
      </c>
      <c r="D239" s="13" t="n">
        <v>5.184</v>
      </c>
      <c r="E239" s="14" t="n">
        <v>56</v>
      </c>
      <c r="F239" s="10" t="n">
        <f aca="false">E239/'Correction factors'!$B$10</f>
        <v>4.5164</v>
      </c>
      <c r="G239" s="11" t="n">
        <v>360</v>
      </c>
    </row>
    <row r="240" customFormat="false" ht="15" hidden="false" customHeight="false" outlineLevel="0" collapsed="false">
      <c r="A240" s="10" t="n">
        <v>50.5748703479767</v>
      </c>
      <c r="B240" s="11" t="n">
        <v>220</v>
      </c>
      <c r="C240" s="12" t="n">
        <f aca="false">B240*'Correction factors'!$B$7</f>
        <v>1064.58</v>
      </c>
      <c r="D240" s="13" t="n">
        <v>5.184</v>
      </c>
      <c r="E240" s="14" t="n">
        <v>48</v>
      </c>
      <c r="F240" s="10" t="n">
        <f aca="false">E240/'Correction factors'!$B$10</f>
        <v>3.8712</v>
      </c>
      <c r="G240" s="11" t="n">
        <v>360</v>
      </c>
    </row>
    <row r="241" customFormat="false" ht="15" hidden="false" customHeight="false" outlineLevel="0" collapsed="false">
      <c r="A241" s="10" t="n">
        <v>51.0408535003662</v>
      </c>
      <c r="B241" s="11" t="n">
        <v>200</v>
      </c>
      <c r="C241" s="12" t="n">
        <f aca="false">B241*'Correction factors'!$B$7</f>
        <v>967.8</v>
      </c>
      <c r="D241" s="13" t="n">
        <v>5.174178</v>
      </c>
      <c r="E241" s="14" t="n">
        <v>56</v>
      </c>
      <c r="F241" s="10" t="n">
        <f aca="false">E241/'Correction factors'!$B$10</f>
        <v>4.5164</v>
      </c>
      <c r="G241" s="11" t="n">
        <v>357</v>
      </c>
    </row>
    <row r="242" customFormat="false" ht="15" hidden="false" customHeight="false" outlineLevel="0" collapsed="false">
      <c r="A242" s="10" t="n">
        <v>51.0408535003662</v>
      </c>
      <c r="B242" s="11" t="n">
        <v>180</v>
      </c>
      <c r="C242" s="12" t="n">
        <f aca="false">B242*'Correction factors'!$B$7</f>
        <v>871.02</v>
      </c>
      <c r="D242" s="13" t="n">
        <v>5.174178</v>
      </c>
      <c r="E242" s="14" t="n">
        <v>56</v>
      </c>
      <c r="F242" s="10" t="n">
        <f aca="false">E242/'Correction factors'!$B$10</f>
        <v>4.5164</v>
      </c>
      <c r="G242" s="11" t="n">
        <v>358</v>
      </c>
    </row>
    <row r="243" customFormat="false" ht="15" hidden="false" customHeight="false" outlineLevel="0" collapsed="false">
      <c r="A243" s="10" t="n">
        <v>51.4695158004761</v>
      </c>
      <c r="B243" s="11" t="n">
        <v>180</v>
      </c>
      <c r="C243" s="12" t="n">
        <f aca="false">B243*'Correction factors'!$B$7</f>
        <v>871.02</v>
      </c>
      <c r="D243" s="13" t="n">
        <v>5.164356</v>
      </c>
      <c r="E243" s="14" t="n">
        <v>56</v>
      </c>
      <c r="F243" s="10" t="n">
        <f aca="false">E243/'Correction factors'!$B$10</f>
        <v>4.5164</v>
      </c>
      <c r="G243" s="11" t="n">
        <v>362</v>
      </c>
    </row>
    <row r="244" customFormat="false" ht="15" hidden="false" customHeight="false" outlineLevel="0" collapsed="false">
      <c r="A244" s="10" t="n">
        <v>51.4695158004761</v>
      </c>
      <c r="B244" s="11" t="n">
        <v>200</v>
      </c>
      <c r="C244" s="12" t="n">
        <f aca="false">B244*'Correction factors'!$B$7</f>
        <v>967.8</v>
      </c>
      <c r="D244" s="13" t="n">
        <v>5.164356</v>
      </c>
      <c r="E244" s="14" t="n">
        <v>56</v>
      </c>
      <c r="F244" s="10" t="n">
        <f aca="false">E244/'Correction factors'!$B$10</f>
        <v>4.5164</v>
      </c>
      <c r="G244" s="11" t="n">
        <v>362</v>
      </c>
    </row>
    <row r="245" customFormat="false" ht="15" hidden="false" customHeight="false" outlineLevel="0" collapsed="false">
      <c r="A245" s="10" t="n">
        <v>51.9006884098053</v>
      </c>
      <c r="B245" s="11" t="n">
        <v>220</v>
      </c>
      <c r="C245" s="12" t="n">
        <f aca="false">B245*'Correction factors'!$B$7</f>
        <v>1064.58</v>
      </c>
      <c r="D245" s="13" t="n">
        <v>5.144713</v>
      </c>
      <c r="E245" s="14" t="n">
        <v>56</v>
      </c>
      <c r="F245" s="10" t="n">
        <f aca="false">E245/'Correction factors'!$B$10</f>
        <v>4.5164</v>
      </c>
      <c r="G245" s="11" t="n">
        <v>360</v>
      </c>
    </row>
    <row r="246" customFormat="false" ht="15" hidden="false" customHeight="false" outlineLevel="0" collapsed="false">
      <c r="A246" s="10" t="n">
        <v>51.9006884098053</v>
      </c>
      <c r="B246" s="11" t="n">
        <v>200</v>
      </c>
      <c r="C246" s="12" t="n">
        <f aca="false">B246*'Correction factors'!$B$7</f>
        <v>967.8</v>
      </c>
      <c r="D246" s="13" t="n">
        <v>5.134892</v>
      </c>
      <c r="E246" s="14" t="n">
        <v>56</v>
      </c>
      <c r="F246" s="10" t="n">
        <f aca="false">E246/'Correction factors'!$B$10</f>
        <v>4.5164</v>
      </c>
      <c r="G246" s="11" t="n">
        <v>359</v>
      </c>
    </row>
    <row r="247" customFormat="false" ht="15" hidden="false" customHeight="false" outlineLevel="0" collapsed="false">
      <c r="A247" s="10" t="n">
        <v>52.3439235687256</v>
      </c>
      <c r="B247" s="11" t="n">
        <v>200</v>
      </c>
      <c r="C247" s="12" t="n">
        <f aca="false">B247*'Correction factors'!$B$7</f>
        <v>967.8</v>
      </c>
      <c r="D247" s="13" t="n">
        <v>5.12507</v>
      </c>
      <c r="E247" s="14" t="n">
        <v>56</v>
      </c>
      <c r="F247" s="10" t="n">
        <f aca="false">E247/'Correction factors'!$B$10</f>
        <v>4.5164</v>
      </c>
      <c r="G247" s="11" t="n">
        <v>359</v>
      </c>
    </row>
    <row r="248" customFormat="false" ht="15" hidden="false" customHeight="false" outlineLevel="0" collapsed="false">
      <c r="A248" s="10" t="n">
        <v>52.3439235687256</v>
      </c>
      <c r="B248" s="11" t="n">
        <v>200</v>
      </c>
      <c r="C248" s="12" t="n">
        <f aca="false">B248*'Correction factors'!$B$7</f>
        <v>967.8</v>
      </c>
      <c r="D248" s="13" t="n">
        <v>5.12507</v>
      </c>
      <c r="E248" s="14" t="n">
        <v>56</v>
      </c>
      <c r="F248" s="10" t="n">
        <f aca="false">E248/'Correction factors'!$B$10</f>
        <v>4.5164</v>
      </c>
      <c r="G248" s="11" t="n">
        <v>359</v>
      </c>
    </row>
    <row r="249" customFormat="false" ht="15" hidden="false" customHeight="false" outlineLevel="0" collapsed="false">
      <c r="A249" s="10" t="n">
        <v>52.3439235687256</v>
      </c>
      <c r="B249" s="11" t="n">
        <v>200</v>
      </c>
      <c r="C249" s="12" t="n">
        <f aca="false">B249*'Correction factors'!$B$7</f>
        <v>967.8</v>
      </c>
      <c r="D249" s="13" t="n">
        <v>5.12507</v>
      </c>
      <c r="E249" s="14" t="n">
        <v>56</v>
      </c>
      <c r="F249" s="10" t="n">
        <f aca="false">E249/'Correction factors'!$B$10</f>
        <v>4.5164</v>
      </c>
      <c r="G249" s="11" t="n">
        <v>359</v>
      </c>
    </row>
    <row r="250" customFormat="false" ht="15" hidden="false" customHeight="false" outlineLevel="0" collapsed="false">
      <c r="A250" s="10" t="n">
        <v>52.8318288326263</v>
      </c>
      <c r="B250" s="11" t="n">
        <v>180</v>
      </c>
      <c r="C250" s="12" t="n">
        <f aca="false">B250*'Correction factors'!$B$7</f>
        <v>871.02</v>
      </c>
      <c r="D250" s="13" t="n">
        <v>5.105427</v>
      </c>
      <c r="E250" s="14" t="n">
        <v>56</v>
      </c>
      <c r="F250" s="10" t="n">
        <f aca="false">E250/'Correction factors'!$B$10</f>
        <v>4.5164</v>
      </c>
      <c r="G250" s="11" t="n">
        <v>359</v>
      </c>
    </row>
    <row r="251" customFormat="false" ht="15" hidden="false" customHeight="false" outlineLevel="0" collapsed="false">
      <c r="A251" s="10" t="n">
        <v>52.8318288326263</v>
      </c>
      <c r="B251" s="11" t="n">
        <v>180</v>
      </c>
      <c r="C251" s="12" t="n">
        <f aca="false">B251*'Correction factors'!$B$7</f>
        <v>871.02</v>
      </c>
      <c r="D251" s="13" t="n">
        <v>5.105427</v>
      </c>
      <c r="E251" s="14" t="n">
        <v>56</v>
      </c>
      <c r="F251" s="10" t="n">
        <f aca="false">E251/'Correction factors'!$B$10</f>
        <v>4.5164</v>
      </c>
      <c r="G251" s="11" t="n">
        <v>360</v>
      </c>
    </row>
    <row r="252" customFormat="false" ht="15" hidden="false" customHeight="false" outlineLevel="0" collapsed="false">
      <c r="A252" s="10" t="n">
        <v>53.2609176635742</v>
      </c>
      <c r="B252" s="11" t="n">
        <v>180</v>
      </c>
      <c r="C252" s="12" t="n">
        <f aca="false">B252*'Correction factors'!$B$7</f>
        <v>871.02</v>
      </c>
      <c r="D252" s="13" t="n">
        <v>5.085783</v>
      </c>
      <c r="E252" s="14" t="n">
        <v>56</v>
      </c>
      <c r="F252" s="10" t="n">
        <f aca="false">E252/'Correction factors'!$B$10</f>
        <v>4.5164</v>
      </c>
      <c r="G252" s="11" t="n">
        <v>362</v>
      </c>
    </row>
    <row r="253" customFormat="false" ht="15" hidden="false" customHeight="false" outlineLevel="0" collapsed="false">
      <c r="A253" s="10" t="n">
        <v>53.2609176635742</v>
      </c>
      <c r="B253" s="11" t="n">
        <v>200</v>
      </c>
      <c r="C253" s="12" t="n">
        <f aca="false">B253*'Correction factors'!$B$7</f>
        <v>967.8</v>
      </c>
      <c r="D253" s="13" t="n">
        <v>5.085783</v>
      </c>
      <c r="E253" s="14" t="n">
        <v>56</v>
      </c>
      <c r="F253" s="10" t="n">
        <f aca="false">E253/'Correction factors'!$B$10</f>
        <v>4.5164</v>
      </c>
      <c r="G253" s="11" t="n">
        <v>363</v>
      </c>
    </row>
    <row r="254" customFormat="false" ht="15" hidden="false" customHeight="false" outlineLevel="0" collapsed="false">
      <c r="A254" s="10" t="n">
        <v>53.6915652751923</v>
      </c>
      <c r="B254" s="11" t="n">
        <v>200</v>
      </c>
      <c r="C254" s="12" t="n">
        <f aca="false">B254*'Correction factors'!$B$7</f>
        <v>967.8</v>
      </c>
      <c r="D254" s="13" t="n">
        <v>5.075962</v>
      </c>
      <c r="E254" s="14" t="n">
        <v>56</v>
      </c>
      <c r="F254" s="10" t="n">
        <f aca="false">E254/'Correction factors'!$B$10</f>
        <v>4.5164</v>
      </c>
      <c r="G254" s="11" t="n">
        <v>362</v>
      </c>
    </row>
    <row r="255" customFormat="false" ht="15" hidden="false" customHeight="false" outlineLevel="0" collapsed="false">
      <c r="A255" s="10" t="n">
        <v>53.6915652751923</v>
      </c>
      <c r="B255" s="11" t="n">
        <v>200</v>
      </c>
      <c r="C255" s="12" t="n">
        <f aca="false">B255*'Correction factors'!$B$7</f>
        <v>967.8</v>
      </c>
      <c r="D255" s="13" t="n">
        <v>5.06614</v>
      </c>
      <c r="E255" s="14" t="n">
        <v>56</v>
      </c>
      <c r="F255" s="10" t="n">
        <f aca="false">E255/'Correction factors'!$B$10</f>
        <v>4.5164</v>
      </c>
      <c r="G255" s="11" t="n">
        <v>362</v>
      </c>
    </row>
    <row r="256" customFormat="false" ht="15" hidden="false" customHeight="false" outlineLevel="0" collapsed="false">
      <c r="A256" s="10" t="n">
        <v>54.1273393630981</v>
      </c>
      <c r="B256" s="11" t="n">
        <v>200</v>
      </c>
      <c r="C256" s="12" t="n">
        <f aca="false">B256*'Correction factors'!$B$7</f>
        <v>967.8</v>
      </c>
      <c r="D256" s="13" t="n">
        <v>5.06614</v>
      </c>
      <c r="E256" s="14" t="n">
        <v>56</v>
      </c>
      <c r="F256" s="10" t="n">
        <f aca="false">E256/'Correction factors'!$B$10</f>
        <v>4.5164</v>
      </c>
      <c r="G256" s="11" t="n">
        <v>360</v>
      </c>
    </row>
    <row r="257" customFormat="false" ht="15" hidden="false" customHeight="false" outlineLevel="0" collapsed="false">
      <c r="A257" s="10" t="n">
        <v>54.1273393630981</v>
      </c>
      <c r="B257" s="11" t="n">
        <v>220</v>
      </c>
      <c r="C257" s="12" t="n">
        <f aca="false">B257*'Correction factors'!$B$7</f>
        <v>1064.58</v>
      </c>
      <c r="D257" s="13" t="n">
        <v>5.056319</v>
      </c>
      <c r="E257" s="14" t="n">
        <v>56</v>
      </c>
      <c r="F257" s="10" t="n">
        <f aca="false">E257/'Correction factors'!$B$10</f>
        <v>4.5164</v>
      </c>
      <c r="G257" s="11" t="n">
        <v>360</v>
      </c>
    </row>
    <row r="258" customFormat="false" ht="15" hidden="false" customHeight="false" outlineLevel="0" collapsed="false">
      <c r="A258" s="10" t="n">
        <v>54.5565180778503</v>
      </c>
      <c r="B258" s="11" t="n">
        <v>200</v>
      </c>
      <c r="C258" s="12" t="n">
        <f aca="false">B258*'Correction factors'!$B$7</f>
        <v>967.8</v>
      </c>
      <c r="D258" s="13" t="n">
        <v>5.046497</v>
      </c>
      <c r="E258" s="14" t="n">
        <v>56</v>
      </c>
      <c r="F258" s="10" t="n">
        <f aca="false">E258/'Correction factors'!$B$10</f>
        <v>4.5164</v>
      </c>
      <c r="G258" s="11" t="n">
        <v>360</v>
      </c>
    </row>
    <row r="259" customFormat="false" ht="15" hidden="false" customHeight="false" outlineLevel="0" collapsed="false">
      <c r="A259" s="10" t="n">
        <v>54.5565180778503</v>
      </c>
      <c r="B259" s="11" t="n">
        <v>200</v>
      </c>
      <c r="C259" s="12" t="n">
        <f aca="false">B259*'Correction factors'!$B$7</f>
        <v>967.8</v>
      </c>
      <c r="D259" s="13" t="n">
        <v>5.036675</v>
      </c>
      <c r="E259" s="14" t="n">
        <v>48</v>
      </c>
      <c r="F259" s="10" t="n">
        <f aca="false">E259/'Correction factors'!$B$10</f>
        <v>3.8712</v>
      </c>
      <c r="G259" s="11" t="n">
        <v>360</v>
      </c>
    </row>
    <row r="260" customFormat="false" ht="15" hidden="false" customHeight="false" outlineLevel="0" collapsed="false">
      <c r="A260" s="10" t="n">
        <v>54.9879610538483</v>
      </c>
      <c r="B260" s="11" t="n">
        <v>220</v>
      </c>
      <c r="C260" s="12" t="n">
        <f aca="false">B260*'Correction factors'!$B$7</f>
        <v>1064.58</v>
      </c>
      <c r="D260" s="13" t="n">
        <v>5.036675</v>
      </c>
      <c r="E260" s="14" t="n">
        <v>56</v>
      </c>
      <c r="F260" s="10" t="n">
        <f aca="false">E260/'Correction factors'!$B$10</f>
        <v>4.5164</v>
      </c>
      <c r="G260" s="11" t="n">
        <v>360</v>
      </c>
    </row>
    <row r="261" customFormat="false" ht="15" hidden="false" customHeight="false" outlineLevel="0" collapsed="false">
      <c r="A261" s="10" t="n">
        <v>54.9879610538483</v>
      </c>
      <c r="B261" s="11" t="n">
        <v>200</v>
      </c>
      <c r="C261" s="12" t="n">
        <f aca="false">B261*'Correction factors'!$B$7</f>
        <v>967.8</v>
      </c>
      <c r="D261" s="13" t="n">
        <v>5.036675</v>
      </c>
      <c r="E261" s="14" t="n">
        <v>56</v>
      </c>
      <c r="F261" s="10" t="n">
        <f aca="false">E261/'Correction factors'!$B$10</f>
        <v>4.5164</v>
      </c>
      <c r="G261" s="11" t="n">
        <v>360</v>
      </c>
    </row>
    <row r="262" customFormat="false" ht="15" hidden="false" customHeight="false" outlineLevel="0" collapsed="false">
      <c r="A262" s="10" t="n">
        <v>55.4578762054443</v>
      </c>
      <c r="B262" s="11" t="n">
        <v>200</v>
      </c>
      <c r="C262" s="12" t="n">
        <f aca="false">B262*'Correction factors'!$B$7</f>
        <v>967.8</v>
      </c>
      <c r="D262" s="13" t="n">
        <v>5.017033</v>
      </c>
      <c r="E262" s="14" t="n">
        <v>56</v>
      </c>
      <c r="F262" s="10" t="n">
        <f aca="false">E262/'Correction factors'!$B$10</f>
        <v>4.5164</v>
      </c>
      <c r="G262" s="11" t="n">
        <v>359</v>
      </c>
    </row>
    <row r="263" customFormat="false" ht="15" hidden="false" customHeight="false" outlineLevel="0" collapsed="false">
      <c r="A263" s="10" t="n">
        <v>55.4578762054443</v>
      </c>
      <c r="B263" s="11" t="n">
        <v>180</v>
      </c>
      <c r="C263" s="12" t="n">
        <f aca="false">B263*'Correction factors'!$B$7</f>
        <v>871.02</v>
      </c>
      <c r="D263" s="13" t="n">
        <v>5.026854</v>
      </c>
      <c r="E263" s="14" t="n">
        <v>56</v>
      </c>
      <c r="F263" s="10" t="n">
        <f aca="false">E263/'Correction factors'!$B$10</f>
        <v>4.5164</v>
      </c>
      <c r="G263" s="11" t="n">
        <v>360</v>
      </c>
    </row>
    <row r="264" customFormat="false" ht="15" hidden="false" customHeight="false" outlineLevel="0" collapsed="false">
      <c r="A264" s="10" t="n">
        <v>55.4578762054443</v>
      </c>
      <c r="B264" s="11" t="n">
        <v>200</v>
      </c>
      <c r="C264" s="12" t="n">
        <f aca="false">B264*'Correction factors'!$B$7</f>
        <v>967.8</v>
      </c>
      <c r="D264" s="13" t="n">
        <v>5.026854</v>
      </c>
      <c r="E264" s="14" t="n">
        <v>56</v>
      </c>
      <c r="F264" s="10" t="n">
        <f aca="false">E264/'Correction factors'!$B$10</f>
        <v>4.5164</v>
      </c>
      <c r="G264" s="11" t="n">
        <v>362</v>
      </c>
    </row>
    <row r="265" customFormat="false" ht="15" hidden="false" customHeight="false" outlineLevel="0" collapsed="false">
      <c r="A265" s="10" t="n">
        <v>55.9327907562256</v>
      </c>
      <c r="B265" s="11" t="n">
        <v>180</v>
      </c>
      <c r="C265" s="12" t="n">
        <f aca="false">B265*'Correction factors'!$B$7</f>
        <v>871.02</v>
      </c>
      <c r="D265" s="13" t="n">
        <v>5.017033</v>
      </c>
      <c r="E265" s="14" t="n">
        <v>56</v>
      </c>
      <c r="F265" s="10" t="n">
        <f aca="false">E265/'Correction factors'!$B$10</f>
        <v>4.5164</v>
      </c>
      <c r="G265" s="11" t="n">
        <v>360</v>
      </c>
    </row>
    <row r="266" customFormat="false" ht="15" hidden="false" customHeight="false" outlineLevel="0" collapsed="false">
      <c r="A266" s="10" t="n">
        <v>55.9327907562256</v>
      </c>
      <c r="B266" s="11" t="n">
        <v>200</v>
      </c>
      <c r="C266" s="12" t="n">
        <f aca="false">B266*'Correction factors'!$B$7</f>
        <v>967.8</v>
      </c>
      <c r="D266" s="13" t="n">
        <v>5.017033</v>
      </c>
      <c r="E266" s="14" t="n">
        <v>56</v>
      </c>
      <c r="F266" s="10" t="n">
        <f aca="false">E266/'Correction factors'!$B$10</f>
        <v>4.5164</v>
      </c>
      <c r="G266" s="11" t="n">
        <v>362</v>
      </c>
    </row>
    <row r="267" customFormat="false" ht="15" hidden="false" customHeight="false" outlineLevel="0" collapsed="false">
      <c r="A267" s="10" t="n">
        <v>56.3640382289887</v>
      </c>
      <c r="B267" s="11" t="n">
        <v>200</v>
      </c>
      <c r="C267" s="12" t="n">
        <f aca="false">B267*'Correction factors'!$B$7</f>
        <v>967.8</v>
      </c>
      <c r="D267" s="13" t="n">
        <v>5.007211</v>
      </c>
      <c r="E267" s="14" t="n">
        <v>56</v>
      </c>
      <c r="F267" s="10" t="n">
        <f aca="false">E267/'Correction factors'!$B$10</f>
        <v>4.5164</v>
      </c>
      <c r="G267" s="11" t="n">
        <v>360</v>
      </c>
    </row>
    <row r="268" customFormat="false" ht="15" hidden="false" customHeight="false" outlineLevel="0" collapsed="false">
      <c r="A268" s="10" t="n">
        <v>56.3640382289887</v>
      </c>
      <c r="B268" s="11" t="n">
        <v>200</v>
      </c>
      <c r="C268" s="12" t="n">
        <f aca="false">B268*'Correction factors'!$B$7</f>
        <v>967.8</v>
      </c>
      <c r="D268" s="13" t="n">
        <v>4.997389</v>
      </c>
      <c r="E268" s="14" t="n">
        <v>56</v>
      </c>
      <c r="F268" s="10" t="n">
        <f aca="false">E268/'Correction factors'!$B$10</f>
        <v>4.5164</v>
      </c>
      <c r="G268" s="11" t="n">
        <v>360</v>
      </c>
    </row>
    <row r="269" customFormat="false" ht="15" hidden="false" customHeight="false" outlineLevel="0" collapsed="false">
      <c r="A269" s="10" t="n">
        <v>56.7987134456635</v>
      </c>
      <c r="B269" s="11" t="n">
        <v>180</v>
      </c>
      <c r="C269" s="12" t="n">
        <f aca="false">B269*'Correction factors'!$B$7</f>
        <v>871.02</v>
      </c>
      <c r="D269" s="13" t="n">
        <v>4.997389</v>
      </c>
      <c r="E269" s="14" t="n">
        <v>56</v>
      </c>
      <c r="F269" s="10" t="n">
        <f aca="false">E269/'Correction factors'!$B$10</f>
        <v>4.5164</v>
      </c>
      <c r="G269" s="11" t="n">
        <v>360</v>
      </c>
    </row>
    <row r="270" customFormat="false" ht="15" hidden="false" customHeight="false" outlineLevel="0" collapsed="false">
      <c r="A270" s="10" t="n">
        <v>56.7987134456635</v>
      </c>
      <c r="B270" s="11" t="n">
        <v>180</v>
      </c>
      <c r="C270" s="12" t="n">
        <f aca="false">B270*'Correction factors'!$B$7</f>
        <v>871.02</v>
      </c>
      <c r="D270" s="13" t="n">
        <v>4.997389</v>
      </c>
      <c r="E270" s="14" t="n">
        <v>56</v>
      </c>
      <c r="F270" s="10" t="n">
        <f aca="false">E270/'Correction factors'!$B$10</f>
        <v>4.5164</v>
      </c>
      <c r="G270" s="11" t="n">
        <v>362</v>
      </c>
    </row>
    <row r="271" customFormat="false" ht="15" hidden="false" customHeight="false" outlineLevel="0" collapsed="false">
      <c r="A271" s="10" t="n">
        <v>57.2287056446075</v>
      </c>
      <c r="B271" s="11" t="n">
        <v>200</v>
      </c>
      <c r="C271" s="12" t="n">
        <f aca="false">B271*'Correction factors'!$B$7</f>
        <v>967.8</v>
      </c>
      <c r="D271" s="13" t="n">
        <v>4.987567</v>
      </c>
      <c r="E271" s="14" t="n">
        <v>56</v>
      </c>
      <c r="F271" s="10" t="n">
        <f aca="false">E271/'Correction factors'!$B$10</f>
        <v>4.5164</v>
      </c>
      <c r="G271" s="11" t="n">
        <v>364</v>
      </c>
    </row>
    <row r="272" customFormat="false" ht="15" hidden="false" customHeight="false" outlineLevel="0" collapsed="false">
      <c r="A272" s="10" t="n">
        <v>57.2287056446075</v>
      </c>
      <c r="B272" s="11" t="n">
        <v>220</v>
      </c>
      <c r="C272" s="12" t="n">
        <f aca="false">B272*'Correction factors'!$B$7</f>
        <v>1064.58</v>
      </c>
      <c r="D272" s="13" t="n">
        <v>4.977746</v>
      </c>
      <c r="E272" s="14" t="n">
        <v>64</v>
      </c>
      <c r="F272" s="10" t="n">
        <f aca="false">E272/'Correction factors'!$B$10</f>
        <v>5.1616</v>
      </c>
      <c r="G272" s="11" t="n">
        <v>364</v>
      </c>
    </row>
    <row r="273" customFormat="false" ht="15" hidden="false" customHeight="false" outlineLevel="0" collapsed="false">
      <c r="A273" s="10" t="n">
        <v>57.6631429195404</v>
      </c>
      <c r="B273" s="11" t="n">
        <v>200</v>
      </c>
      <c r="C273" s="12" t="n">
        <f aca="false">B273*'Correction factors'!$B$7</f>
        <v>967.8</v>
      </c>
      <c r="D273" s="13" t="n">
        <v>4.958103</v>
      </c>
      <c r="E273" s="14" t="n">
        <v>56</v>
      </c>
      <c r="F273" s="10" t="n">
        <f aca="false">E273/'Correction factors'!$B$10</f>
        <v>4.5164</v>
      </c>
      <c r="G273" s="11" t="n">
        <v>360</v>
      </c>
    </row>
    <row r="274" customFormat="false" ht="15" hidden="false" customHeight="false" outlineLevel="0" collapsed="false">
      <c r="A274" s="10" t="n">
        <v>57.6631429195404</v>
      </c>
      <c r="B274" s="11" t="n">
        <v>200</v>
      </c>
      <c r="C274" s="12" t="n">
        <f aca="false">B274*'Correction factors'!$B$7</f>
        <v>967.8</v>
      </c>
      <c r="D274" s="13" t="n">
        <v>4.967924</v>
      </c>
      <c r="E274" s="14" t="n">
        <v>56</v>
      </c>
      <c r="F274" s="10" t="n">
        <f aca="false">E274/'Correction factors'!$B$10</f>
        <v>4.5164</v>
      </c>
      <c r="G274" s="11" t="n">
        <v>362</v>
      </c>
    </row>
    <row r="275" customFormat="false" ht="15" hidden="false" customHeight="false" outlineLevel="0" collapsed="false">
      <c r="A275" s="10" t="n">
        <v>58.0974509716034</v>
      </c>
      <c r="B275" s="11" t="n">
        <v>180</v>
      </c>
      <c r="C275" s="12" t="n">
        <f aca="false">B275*'Correction factors'!$B$7</f>
        <v>871.02</v>
      </c>
      <c r="D275" s="13" t="n">
        <v>4.958103</v>
      </c>
      <c r="E275" s="14" t="n">
        <v>56</v>
      </c>
      <c r="F275" s="10" t="n">
        <f aca="false">E275/'Correction factors'!$B$10</f>
        <v>4.5164</v>
      </c>
      <c r="G275" s="11" t="n">
        <v>360</v>
      </c>
    </row>
    <row r="276" customFormat="false" ht="15" hidden="false" customHeight="false" outlineLevel="0" collapsed="false">
      <c r="A276" s="10" t="n">
        <v>58.0974509716034</v>
      </c>
      <c r="B276" s="11" t="n">
        <v>200</v>
      </c>
      <c r="C276" s="12" t="n">
        <f aca="false">B276*'Correction factors'!$B$7</f>
        <v>967.8</v>
      </c>
      <c r="D276" s="13" t="n">
        <v>4.948281</v>
      </c>
      <c r="E276" s="14" t="n">
        <v>56</v>
      </c>
      <c r="F276" s="10" t="n">
        <f aca="false">E276/'Correction factors'!$B$10</f>
        <v>4.5164</v>
      </c>
      <c r="G276" s="11" t="n">
        <v>362</v>
      </c>
    </row>
    <row r="277" customFormat="false" ht="15" hidden="false" customHeight="false" outlineLevel="0" collapsed="false">
      <c r="A277" s="10" t="n">
        <v>58.5292999744415</v>
      </c>
      <c r="B277" s="11" t="n">
        <v>200</v>
      </c>
      <c r="C277" s="12" t="n">
        <f aca="false">B277*'Correction factors'!$B$7</f>
        <v>967.8</v>
      </c>
      <c r="D277" s="13" t="n">
        <v>4.938459</v>
      </c>
      <c r="E277" s="14" t="n">
        <v>56</v>
      </c>
      <c r="F277" s="10" t="n">
        <f aca="false">E277/'Correction factors'!$B$10</f>
        <v>4.5164</v>
      </c>
      <c r="G277" s="11" t="n">
        <v>362</v>
      </c>
    </row>
    <row r="278" customFormat="false" ht="15" hidden="false" customHeight="false" outlineLevel="0" collapsed="false">
      <c r="A278" s="10" t="n">
        <v>58.5292999744415</v>
      </c>
      <c r="B278" s="11" t="n">
        <v>200</v>
      </c>
      <c r="C278" s="12" t="n">
        <f aca="false">B278*'Correction factors'!$B$7</f>
        <v>967.8</v>
      </c>
      <c r="D278" s="13" t="n">
        <v>4.938459</v>
      </c>
      <c r="E278" s="14" t="n">
        <v>56</v>
      </c>
      <c r="F278" s="10" t="n">
        <f aca="false">E278/'Correction factors'!$B$10</f>
        <v>4.5164</v>
      </c>
      <c r="G278" s="11" t="n">
        <v>362</v>
      </c>
    </row>
    <row r="279" customFormat="false" ht="15" hidden="false" customHeight="false" outlineLevel="0" collapsed="false">
      <c r="A279" s="10" t="n">
        <v>58.9593465328217</v>
      </c>
      <c r="B279" s="11" t="n">
        <v>200</v>
      </c>
      <c r="C279" s="12" t="n">
        <f aca="false">B279*'Correction factors'!$B$7</f>
        <v>967.8</v>
      </c>
      <c r="D279" s="13" t="n">
        <v>4.938459</v>
      </c>
      <c r="E279" s="14" t="n">
        <v>56</v>
      </c>
      <c r="F279" s="10" t="n">
        <f aca="false">E279/'Correction factors'!$B$10</f>
        <v>4.5164</v>
      </c>
      <c r="G279" s="11" t="n">
        <v>362</v>
      </c>
    </row>
    <row r="280" customFormat="false" ht="15" hidden="false" customHeight="false" outlineLevel="0" collapsed="false">
      <c r="A280" s="10" t="n">
        <v>58.9593465328217</v>
      </c>
      <c r="B280" s="11" t="n">
        <v>200</v>
      </c>
      <c r="C280" s="12" t="n">
        <f aca="false">B280*'Correction factors'!$B$7</f>
        <v>967.8</v>
      </c>
      <c r="D280" s="13" t="n">
        <v>4.918817</v>
      </c>
      <c r="E280" s="14" t="n">
        <v>64</v>
      </c>
      <c r="F280" s="10" t="n">
        <f aca="false">E280/'Correction factors'!$B$10</f>
        <v>5.1616</v>
      </c>
      <c r="G280" s="11" t="n">
        <v>362</v>
      </c>
    </row>
    <row r="281" customFormat="false" ht="15" hidden="false" customHeight="false" outlineLevel="0" collapsed="false">
      <c r="A281" s="10" t="n">
        <v>58.9593465328217</v>
      </c>
      <c r="B281" s="11" t="n">
        <v>200</v>
      </c>
      <c r="C281" s="12" t="n">
        <f aca="false">B281*'Correction factors'!$B$7</f>
        <v>967.8</v>
      </c>
      <c r="D281" s="13" t="n">
        <v>4.918817</v>
      </c>
      <c r="E281" s="14" t="n">
        <v>56</v>
      </c>
      <c r="F281" s="10" t="n">
        <f aca="false">E281/'Correction factors'!$B$10</f>
        <v>4.5164</v>
      </c>
      <c r="G281" s="11" t="n">
        <v>362</v>
      </c>
    </row>
    <row r="282" customFormat="false" ht="15" hidden="false" customHeight="false" outlineLevel="0" collapsed="false">
      <c r="A282" s="10" t="n">
        <v>59.454829454422</v>
      </c>
      <c r="B282" s="11" t="n">
        <v>200</v>
      </c>
      <c r="C282" s="12" t="n">
        <f aca="false">B282*'Correction factors'!$B$7</f>
        <v>967.8</v>
      </c>
      <c r="D282" s="13" t="n">
        <v>4.908995</v>
      </c>
      <c r="E282" s="14" t="n">
        <v>56</v>
      </c>
      <c r="F282" s="10" t="n">
        <f aca="false">E282/'Correction factors'!$B$10</f>
        <v>4.5164</v>
      </c>
      <c r="G282" s="11" t="n">
        <v>362</v>
      </c>
    </row>
    <row r="283" customFormat="false" ht="15" hidden="false" customHeight="false" outlineLevel="0" collapsed="false">
      <c r="A283" s="10" t="n">
        <v>59.454829454422</v>
      </c>
      <c r="B283" s="11" t="n">
        <v>200</v>
      </c>
      <c r="C283" s="12" t="n">
        <f aca="false">B283*'Correction factors'!$B$7</f>
        <v>967.8</v>
      </c>
      <c r="D283" s="13" t="n">
        <v>4.908995</v>
      </c>
      <c r="E283" s="14" t="n">
        <v>56</v>
      </c>
      <c r="F283" s="10" t="n">
        <f aca="false">E283/'Correction factors'!$B$10</f>
        <v>4.5164</v>
      </c>
      <c r="G283" s="11" t="n">
        <v>362</v>
      </c>
    </row>
    <row r="284" customFormat="false" ht="15" hidden="false" customHeight="false" outlineLevel="0" collapsed="false">
      <c r="A284" s="10" t="n">
        <v>59.923659324646</v>
      </c>
      <c r="B284" s="11" t="n">
        <v>200</v>
      </c>
      <c r="C284" s="12" t="n">
        <f aca="false">B284*'Correction factors'!$B$7</f>
        <v>967.8</v>
      </c>
      <c r="D284" s="13" t="n">
        <v>4.908995</v>
      </c>
      <c r="E284" s="14" t="n">
        <v>56</v>
      </c>
      <c r="F284" s="10" t="n">
        <f aca="false">E284/'Correction factors'!$B$10</f>
        <v>4.5164</v>
      </c>
      <c r="G284" s="11" t="n">
        <v>362</v>
      </c>
    </row>
    <row r="285" customFormat="false" ht="15" hidden="false" customHeight="false" outlineLevel="0" collapsed="false">
      <c r="A285" s="10" t="n">
        <v>59.923659324646</v>
      </c>
      <c r="B285" s="11" t="n">
        <v>200</v>
      </c>
      <c r="C285" s="12" t="n">
        <f aca="false">B285*'Correction factors'!$B$7</f>
        <v>967.8</v>
      </c>
      <c r="D285" s="13" t="n">
        <v>4.899173</v>
      </c>
      <c r="E285" s="14" t="n">
        <v>56</v>
      </c>
      <c r="F285" s="10" t="n">
        <f aca="false">E285/'Correction factors'!$B$10</f>
        <v>4.5164</v>
      </c>
      <c r="G285" s="11" t="n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5"/>
    <col collapsed="false" customWidth="true" hidden="false" outlineLevel="0" max="6" min="5" style="0" width="20"/>
    <col collapsed="false" customWidth="true" hidden="false" outlineLevel="0" max="7" min="7" style="0" width="15"/>
  </cols>
  <sheetData>
    <row r="1" customFormat="false" ht="30" hidden="false" customHeight="tru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</row>
    <row r="2" customFormat="false" ht="15" hidden="false" customHeight="false" outlineLevel="0" collapsed="false">
      <c r="A2" s="10" t="n">
        <v>1.39330697059631</v>
      </c>
      <c r="B2" s="11" t="n">
        <v>0</v>
      </c>
      <c r="C2" s="12" t="n">
        <f aca="false">B2*'Correction factors'!$B$7</f>
        <v>0</v>
      </c>
      <c r="D2" s="13" t="n">
        <v>1.05893</v>
      </c>
      <c r="E2" s="14" t="n">
        <v>0</v>
      </c>
      <c r="F2" s="10" t="n">
        <f aca="false">E2/'Correction factors'!$B$10</f>
        <v>0</v>
      </c>
      <c r="G2" s="11" t="n">
        <v>508</v>
      </c>
    </row>
    <row r="3" customFormat="false" ht="15" hidden="false" customHeight="false" outlineLevel="0" collapsed="false">
      <c r="A3" s="10" t="n">
        <v>1.83402323722839</v>
      </c>
      <c r="B3" s="11" t="n">
        <v>0</v>
      </c>
      <c r="C3" s="12" t="n">
        <f aca="false">B3*'Correction factors'!$B$7</f>
        <v>0</v>
      </c>
      <c r="D3" s="13" t="n">
        <v>1.05893</v>
      </c>
      <c r="E3" s="14" t="n">
        <v>0</v>
      </c>
      <c r="F3" s="10" t="n">
        <f aca="false">E3/'Correction factors'!$B$10</f>
        <v>0</v>
      </c>
      <c r="G3" s="11" t="n">
        <v>238</v>
      </c>
    </row>
    <row r="4" customFormat="false" ht="15" hidden="false" customHeight="false" outlineLevel="0" collapsed="false">
      <c r="A4" s="10" t="n">
        <v>1.83402323722839</v>
      </c>
      <c r="B4" s="11" t="n">
        <v>0</v>
      </c>
      <c r="C4" s="12" t="n">
        <f aca="false">B4*'Correction factors'!$B$7</f>
        <v>0</v>
      </c>
      <c r="D4" s="13" t="n">
        <v>1.049108</v>
      </c>
      <c r="E4" s="14" t="n">
        <v>0</v>
      </c>
      <c r="F4" s="10" t="n">
        <f aca="false">E4/'Correction factors'!$B$10</f>
        <v>0</v>
      </c>
      <c r="G4" s="11" t="n">
        <v>241</v>
      </c>
    </row>
    <row r="5" customFormat="false" ht="15" hidden="false" customHeight="false" outlineLevel="0" collapsed="false">
      <c r="A5" s="10" t="n">
        <v>2.34762001037598</v>
      </c>
      <c r="B5" s="11" t="n">
        <v>0</v>
      </c>
      <c r="C5" s="12" t="n">
        <f aca="false">B5*'Correction factors'!$B$7</f>
        <v>0</v>
      </c>
      <c r="D5" s="13" t="n">
        <v>1.068751</v>
      </c>
      <c r="E5" s="14" t="n">
        <v>0</v>
      </c>
      <c r="F5" s="10" t="n">
        <f aca="false">E5/'Correction factors'!$B$10</f>
        <v>0</v>
      </c>
      <c r="G5" s="11" t="n">
        <v>248</v>
      </c>
    </row>
    <row r="6" customFormat="false" ht="15" hidden="false" customHeight="false" outlineLevel="0" collapsed="false">
      <c r="A6" s="10" t="n">
        <v>2.34762001037598</v>
      </c>
      <c r="B6" s="11" t="n">
        <v>0</v>
      </c>
      <c r="C6" s="12" t="n">
        <f aca="false">B6*'Correction factors'!$B$7</f>
        <v>0</v>
      </c>
      <c r="D6" s="13" t="n">
        <v>1.049108</v>
      </c>
      <c r="E6" s="14" t="n">
        <v>0</v>
      </c>
      <c r="F6" s="10" t="n">
        <f aca="false">E6/'Correction factors'!$B$10</f>
        <v>0</v>
      </c>
      <c r="G6" s="11" t="n">
        <v>249</v>
      </c>
    </row>
    <row r="7" customFormat="false" ht="15" hidden="false" customHeight="false" outlineLevel="0" collapsed="false">
      <c r="A7" s="10" t="n">
        <v>2.34762001037598</v>
      </c>
      <c r="B7" s="11" t="n">
        <v>0</v>
      </c>
      <c r="C7" s="12" t="n">
        <f aca="false">B7*'Correction factors'!$B$7</f>
        <v>0</v>
      </c>
      <c r="D7" s="13" t="n">
        <v>1.05893</v>
      </c>
      <c r="E7" s="14" t="n">
        <v>0</v>
      </c>
      <c r="F7" s="10" t="n">
        <f aca="false">E7/'Correction factors'!$B$10</f>
        <v>0</v>
      </c>
      <c r="G7" s="11" t="n">
        <v>256</v>
      </c>
    </row>
    <row r="8" customFormat="false" ht="15" hidden="false" customHeight="false" outlineLevel="0" collapsed="false">
      <c r="A8" s="10" t="n">
        <v>2.80463123321533</v>
      </c>
      <c r="B8" s="11" t="n">
        <v>0</v>
      </c>
      <c r="C8" s="12" t="n">
        <f aca="false">B8*'Correction factors'!$B$7</f>
        <v>0</v>
      </c>
      <c r="D8" s="13" t="n">
        <v>1.05893</v>
      </c>
      <c r="E8" s="14" t="n">
        <v>0</v>
      </c>
      <c r="F8" s="10" t="n">
        <f aca="false">E8/'Correction factors'!$B$10</f>
        <v>0</v>
      </c>
      <c r="G8" s="11" t="n">
        <v>266</v>
      </c>
    </row>
    <row r="9" customFormat="false" ht="15" hidden="false" customHeight="false" outlineLevel="0" collapsed="false">
      <c r="A9" s="10" t="n">
        <v>2.80463123321533</v>
      </c>
      <c r="B9" s="11" t="n">
        <v>0</v>
      </c>
      <c r="C9" s="12" t="n">
        <f aca="false">B9*'Correction factors'!$B$7</f>
        <v>0</v>
      </c>
      <c r="D9" s="13" t="n">
        <v>1.05893</v>
      </c>
      <c r="E9" s="14" t="n">
        <v>0</v>
      </c>
      <c r="F9" s="10" t="n">
        <f aca="false">E9/'Correction factors'!$B$10</f>
        <v>0</v>
      </c>
      <c r="G9" s="11" t="n">
        <v>266</v>
      </c>
    </row>
    <row r="10" customFormat="false" ht="15" hidden="false" customHeight="false" outlineLevel="0" collapsed="false">
      <c r="A10" s="10" t="n">
        <v>3.26331543922424</v>
      </c>
      <c r="B10" s="11" t="n">
        <v>0</v>
      </c>
      <c r="C10" s="12" t="n">
        <f aca="false">B10*'Correction factors'!$B$7</f>
        <v>0</v>
      </c>
      <c r="D10" s="13" t="n">
        <v>1.05893</v>
      </c>
      <c r="E10" s="14" t="n">
        <v>0</v>
      </c>
      <c r="F10" s="10" t="n">
        <f aca="false">E10/'Correction factors'!$B$10</f>
        <v>0</v>
      </c>
      <c r="G10" s="11" t="n">
        <v>279</v>
      </c>
    </row>
    <row r="11" customFormat="false" ht="15" hidden="false" customHeight="false" outlineLevel="0" collapsed="false">
      <c r="A11" s="10" t="n">
        <v>3.26331543922424</v>
      </c>
      <c r="B11" s="11" t="n">
        <v>0</v>
      </c>
      <c r="C11" s="12" t="n">
        <f aca="false">B11*'Correction factors'!$B$7</f>
        <v>0</v>
      </c>
      <c r="D11" s="13" t="n">
        <v>1.049108</v>
      </c>
      <c r="E11" s="14" t="n">
        <v>0</v>
      </c>
      <c r="F11" s="10" t="n">
        <f aca="false">E11/'Correction factors'!$B$10</f>
        <v>0</v>
      </c>
      <c r="G11" s="11" t="n">
        <v>283</v>
      </c>
    </row>
    <row r="12" customFormat="false" ht="15" hidden="false" customHeight="false" outlineLevel="0" collapsed="false">
      <c r="A12" s="10" t="n">
        <v>3.7385630607605</v>
      </c>
      <c r="B12" s="11" t="n">
        <v>0</v>
      </c>
      <c r="C12" s="12" t="n">
        <f aca="false">B12*'Correction factors'!$B$7</f>
        <v>0</v>
      </c>
      <c r="D12" s="13" t="n">
        <v>1.05893</v>
      </c>
      <c r="E12" s="14" t="n">
        <v>0</v>
      </c>
      <c r="F12" s="10" t="n">
        <f aca="false">E12/'Correction factors'!$B$10</f>
        <v>0</v>
      </c>
      <c r="G12" s="11" t="n">
        <v>290</v>
      </c>
    </row>
    <row r="13" customFormat="false" ht="15" hidden="false" customHeight="false" outlineLevel="0" collapsed="false">
      <c r="A13" s="10" t="n">
        <v>3.7385630607605</v>
      </c>
      <c r="B13" s="11" t="n">
        <v>0</v>
      </c>
      <c r="C13" s="12" t="n">
        <f aca="false">B13*'Correction factors'!$B$7</f>
        <v>0</v>
      </c>
      <c r="D13" s="13" t="n">
        <v>1.05893</v>
      </c>
      <c r="E13" s="14" t="n">
        <v>0</v>
      </c>
      <c r="F13" s="10" t="n">
        <f aca="false">E13/'Correction factors'!$B$10</f>
        <v>0</v>
      </c>
      <c r="G13" s="11" t="n">
        <v>293</v>
      </c>
    </row>
    <row r="14" customFormat="false" ht="15" hidden="false" customHeight="false" outlineLevel="0" collapsed="false">
      <c r="A14" s="10" t="n">
        <v>4.2274067401886</v>
      </c>
      <c r="B14" s="11" t="n">
        <v>0</v>
      </c>
      <c r="C14" s="12" t="n">
        <f aca="false">B14*'Correction factors'!$B$7</f>
        <v>0</v>
      </c>
      <c r="D14" s="13" t="n">
        <v>1.049108</v>
      </c>
      <c r="E14" s="14" t="n">
        <v>0</v>
      </c>
      <c r="F14" s="10" t="n">
        <f aca="false">E14/'Correction factors'!$B$10</f>
        <v>0</v>
      </c>
      <c r="G14" s="11" t="n">
        <v>304</v>
      </c>
    </row>
    <row r="15" customFormat="false" ht="15" hidden="false" customHeight="false" outlineLevel="0" collapsed="false">
      <c r="A15" s="10" t="n">
        <v>4.2274067401886</v>
      </c>
      <c r="B15" s="11" t="n">
        <v>0</v>
      </c>
      <c r="C15" s="12" t="n">
        <f aca="false">B15*'Correction factors'!$B$7</f>
        <v>0</v>
      </c>
      <c r="D15" s="13" t="n">
        <v>1.049108</v>
      </c>
      <c r="E15" s="14" t="n">
        <v>0</v>
      </c>
      <c r="F15" s="10" t="n">
        <f aca="false">E15/'Correction factors'!$B$10</f>
        <v>0</v>
      </c>
      <c r="G15" s="11" t="n">
        <v>306</v>
      </c>
    </row>
    <row r="16" customFormat="false" ht="15" hidden="false" customHeight="false" outlineLevel="0" collapsed="false">
      <c r="A16" s="10" t="n">
        <v>4.2274067401886</v>
      </c>
      <c r="B16" s="11" t="n">
        <v>0</v>
      </c>
      <c r="C16" s="12" t="n">
        <f aca="false">B16*'Correction factors'!$B$7</f>
        <v>0</v>
      </c>
      <c r="D16" s="13" t="n">
        <v>1.05893</v>
      </c>
      <c r="E16" s="14" t="n">
        <v>0</v>
      </c>
      <c r="F16" s="10" t="n">
        <f aca="false">E16/'Correction factors'!$B$10</f>
        <v>0</v>
      </c>
      <c r="G16" s="11" t="n">
        <v>311</v>
      </c>
    </row>
    <row r="17" customFormat="false" ht="15" hidden="false" customHeight="false" outlineLevel="0" collapsed="false">
      <c r="A17" s="10" t="n">
        <v>4.71598100662231</v>
      </c>
      <c r="B17" s="11" t="n">
        <v>0</v>
      </c>
      <c r="C17" s="12" t="n">
        <f aca="false">B17*'Correction factors'!$B$7</f>
        <v>0</v>
      </c>
      <c r="D17" s="13" t="n">
        <v>1.049108</v>
      </c>
      <c r="E17" s="14" t="n">
        <v>0</v>
      </c>
      <c r="F17" s="10" t="n">
        <f aca="false">E17/'Correction factors'!$B$10</f>
        <v>0</v>
      </c>
      <c r="G17" s="11" t="n">
        <v>322</v>
      </c>
    </row>
    <row r="18" customFormat="false" ht="15" hidden="false" customHeight="false" outlineLevel="0" collapsed="false">
      <c r="A18" s="10" t="n">
        <v>4.71598100662231</v>
      </c>
      <c r="B18" s="11" t="n">
        <v>0</v>
      </c>
      <c r="C18" s="12" t="n">
        <f aca="false">B18*'Correction factors'!$B$7</f>
        <v>0</v>
      </c>
      <c r="D18" s="13" t="n">
        <v>1.049108</v>
      </c>
      <c r="E18" s="14" t="n">
        <v>0</v>
      </c>
      <c r="F18" s="10" t="n">
        <f aca="false">E18/'Correction factors'!$B$10</f>
        <v>0</v>
      </c>
      <c r="G18" s="11" t="n">
        <v>325</v>
      </c>
    </row>
    <row r="19" customFormat="false" ht="15" hidden="false" customHeight="false" outlineLevel="0" collapsed="false">
      <c r="A19" s="10" t="n">
        <v>5.13191318511963</v>
      </c>
      <c r="B19" s="11" t="n">
        <v>0</v>
      </c>
      <c r="C19" s="12" t="n">
        <f aca="false">B19*'Correction factors'!$B$7</f>
        <v>0</v>
      </c>
      <c r="D19" s="13" t="n">
        <v>1.049108</v>
      </c>
      <c r="E19" s="14" t="n">
        <v>0</v>
      </c>
      <c r="F19" s="10" t="n">
        <f aca="false">E19/'Correction factors'!$B$10</f>
        <v>0</v>
      </c>
      <c r="G19" s="11" t="n">
        <v>336</v>
      </c>
    </row>
    <row r="20" customFormat="false" ht="15" hidden="false" customHeight="false" outlineLevel="0" collapsed="false">
      <c r="A20" s="10" t="n">
        <v>5.13191318511963</v>
      </c>
      <c r="B20" s="11" t="n">
        <v>0</v>
      </c>
      <c r="C20" s="12" t="n">
        <f aca="false">B20*'Correction factors'!$B$7</f>
        <v>0</v>
      </c>
      <c r="D20" s="13" t="n">
        <v>1.049108</v>
      </c>
      <c r="E20" s="14" t="n">
        <v>0</v>
      </c>
      <c r="F20" s="10" t="n">
        <f aca="false">E20/'Correction factors'!$B$10</f>
        <v>0</v>
      </c>
      <c r="G20" s="11" t="n">
        <v>336</v>
      </c>
    </row>
    <row r="21" customFormat="false" ht="15" hidden="false" customHeight="false" outlineLevel="0" collapsed="false">
      <c r="A21" s="10" t="n">
        <v>5.55544710159302</v>
      </c>
      <c r="B21" s="11" t="n">
        <v>0</v>
      </c>
      <c r="C21" s="12" t="n">
        <f aca="false">B21*'Correction factors'!$B$7</f>
        <v>0</v>
      </c>
      <c r="D21" s="13" t="n">
        <v>1.05893</v>
      </c>
      <c r="E21" s="14" t="n">
        <v>0</v>
      </c>
      <c r="F21" s="10" t="n">
        <f aca="false">E21/'Correction factors'!$B$10</f>
        <v>0</v>
      </c>
      <c r="G21" s="11" t="n">
        <v>347</v>
      </c>
    </row>
    <row r="22" customFormat="false" ht="15" hidden="false" customHeight="false" outlineLevel="0" collapsed="false">
      <c r="A22" s="10" t="n">
        <v>5.55544710159302</v>
      </c>
      <c r="B22" s="11" t="n">
        <v>0</v>
      </c>
      <c r="C22" s="12" t="n">
        <f aca="false">B22*'Correction factors'!$B$7</f>
        <v>0</v>
      </c>
      <c r="D22" s="13" t="n">
        <v>1.05893</v>
      </c>
      <c r="E22" s="14" t="n">
        <v>0</v>
      </c>
      <c r="F22" s="10" t="n">
        <f aca="false">E22/'Correction factors'!$B$10</f>
        <v>0</v>
      </c>
      <c r="G22" s="11" t="n">
        <v>350</v>
      </c>
    </row>
    <row r="23" customFormat="false" ht="15" hidden="false" customHeight="false" outlineLevel="0" collapsed="false">
      <c r="A23" s="10" t="n">
        <v>5.98479533195496</v>
      </c>
      <c r="B23" s="11" t="n">
        <v>0</v>
      </c>
      <c r="C23" s="12" t="n">
        <f aca="false">B23*'Correction factors'!$B$7</f>
        <v>0</v>
      </c>
      <c r="D23" s="13" t="n">
        <v>1.05893</v>
      </c>
      <c r="E23" s="14" t="n">
        <v>0</v>
      </c>
      <c r="F23" s="10" t="n">
        <f aca="false">E23/'Correction factors'!$B$10</f>
        <v>0</v>
      </c>
      <c r="G23" s="11" t="n">
        <v>360</v>
      </c>
    </row>
    <row r="24" customFormat="false" ht="15" hidden="false" customHeight="false" outlineLevel="0" collapsed="false">
      <c r="A24" s="10" t="n">
        <v>5.98479533195496</v>
      </c>
      <c r="B24" s="11" t="n">
        <v>0</v>
      </c>
      <c r="C24" s="12" t="n">
        <f aca="false">B24*'Correction factors'!$B$7</f>
        <v>0</v>
      </c>
      <c r="D24" s="13" t="n">
        <v>1.05893</v>
      </c>
      <c r="E24" s="14" t="n">
        <v>0</v>
      </c>
      <c r="F24" s="10" t="n">
        <f aca="false">E24/'Correction factors'!$B$10</f>
        <v>0</v>
      </c>
      <c r="G24" s="11" t="n">
        <v>362</v>
      </c>
    </row>
    <row r="25" customFormat="false" ht="15" hidden="false" customHeight="false" outlineLevel="0" collapsed="false">
      <c r="A25" s="10" t="n">
        <v>6.41519689559937</v>
      </c>
      <c r="B25" s="11" t="n">
        <v>0</v>
      </c>
      <c r="C25" s="12" t="n">
        <f aca="false">B25*'Correction factors'!$B$7</f>
        <v>0</v>
      </c>
      <c r="D25" s="13" t="n">
        <v>1.049108</v>
      </c>
      <c r="E25" s="14" t="n">
        <v>0</v>
      </c>
      <c r="F25" s="10" t="n">
        <f aca="false">E25/'Correction factors'!$B$10</f>
        <v>0</v>
      </c>
      <c r="G25" s="11" t="n">
        <v>372</v>
      </c>
    </row>
    <row r="26" customFormat="false" ht="15" hidden="false" customHeight="false" outlineLevel="0" collapsed="false">
      <c r="A26" s="10" t="n">
        <v>6.41519689559937</v>
      </c>
      <c r="B26" s="11" t="n">
        <v>0</v>
      </c>
      <c r="C26" s="12" t="n">
        <f aca="false">B26*'Correction factors'!$B$7</f>
        <v>0</v>
      </c>
      <c r="D26" s="13" t="n">
        <v>1.05893</v>
      </c>
      <c r="E26" s="14" t="n">
        <v>0</v>
      </c>
      <c r="F26" s="10" t="n">
        <f aca="false">E26/'Correction factors'!$B$10</f>
        <v>0</v>
      </c>
      <c r="G26" s="11" t="n">
        <v>374</v>
      </c>
    </row>
    <row r="27" customFormat="false" ht="15" hidden="false" customHeight="false" outlineLevel="0" collapsed="false">
      <c r="A27" s="10" t="n">
        <v>6.41519689559937</v>
      </c>
      <c r="B27" s="11" t="n">
        <v>0</v>
      </c>
      <c r="C27" s="12" t="n">
        <f aca="false">B27*'Correction factors'!$B$7</f>
        <v>0</v>
      </c>
      <c r="D27" s="13" t="n">
        <v>1.049108</v>
      </c>
      <c r="E27" s="14" t="n">
        <v>0</v>
      </c>
      <c r="F27" s="10" t="n">
        <f aca="false">E27/'Correction factors'!$B$10</f>
        <v>0</v>
      </c>
      <c r="G27" s="11" t="n">
        <v>386</v>
      </c>
    </row>
    <row r="28" customFormat="false" ht="15" hidden="false" customHeight="false" outlineLevel="0" collapsed="false">
      <c r="A28" s="10" t="n">
        <v>6.96078181266785</v>
      </c>
      <c r="B28" s="11" t="n">
        <v>0</v>
      </c>
      <c r="C28" s="12" t="n">
        <f aca="false">B28*'Correction factors'!$B$7</f>
        <v>0</v>
      </c>
      <c r="D28" s="13" t="n">
        <v>1.05893</v>
      </c>
      <c r="E28" s="14" t="n">
        <v>0</v>
      </c>
      <c r="F28" s="10" t="n">
        <f aca="false">E28/'Correction factors'!$B$10</f>
        <v>0</v>
      </c>
      <c r="G28" s="11" t="n">
        <v>390</v>
      </c>
    </row>
    <row r="29" customFormat="false" ht="15" hidden="false" customHeight="false" outlineLevel="0" collapsed="false">
      <c r="A29" s="10" t="n">
        <v>6.96078181266785</v>
      </c>
      <c r="B29" s="11" t="n">
        <v>0</v>
      </c>
      <c r="C29" s="12" t="n">
        <f aca="false">B29*'Correction factors'!$B$7</f>
        <v>0</v>
      </c>
      <c r="D29" s="13" t="n">
        <v>1.05893</v>
      </c>
      <c r="E29" s="14" t="n">
        <v>0</v>
      </c>
      <c r="F29" s="10" t="n">
        <f aca="false">E29/'Correction factors'!$B$10</f>
        <v>0</v>
      </c>
      <c r="G29" s="11" t="n">
        <v>394</v>
      </c>
    </row>
    <row r="30" customFormat="false" ht="15" hidden="false" customHeight="false" outlineLevel="0" collapsed="false">
      <c r="A30" s="10" t="n">
        <v>7.4306070804596</v>
      </c>
      <c r="B30" s="11" t="n">
        <v>0</v>
      </c>
      <c r="C30" s="12" t="n">
        <f aca="false">B30*'Correction factors'!$B$7</f>
        <v>0</v>
      </c>
      <c r="D30" s="13" t="n">
        <v>1.049108</v>
      </c>
      <c r="E30" s="14" t="n">
        <v>0</v>
      </c>
      <c r="F30" s="10" t="n">
        <f aca="false">E30/'Correction factors'!$B$10</f>
        <v>0</v>
      </c>
      <c r="G30" s="11" t="n">
        <v>404</v>
      </c>
    </row>
    <row r="31" customFormat="false" ht="15" hidden="false" customHeight="false" outlineLevel="0" collapsed="false">
      <c r="A31" s="10" t="n">
        <v>7.4306070804596</v>
      </c>
      <c r="B31" s="11" t="n">
        <v>0</v>
      </c>
      <c r="C31" s="12" t="n">
        <f aca="false">B31*'Correction factors'!$B$7</f>
        <v>0</v>
      </c>
      <c r="D31" s="13" t="n">
        <v>1.05893</v>
      </c>
      <c r="E31" s="14" t="n">
        <v>0</v>
      </c>
      <c r="F31" s="10" t="n">
        <f aca="false">E31/'Correction factors'!$B$10</f>
        <v>0</v>
      </c>
      <c r="G31" s="11" t="n">
        <v>406</v>
      </c>
    </row>
    <row r="32" customFormat="false" ht="15" hidden="false" customHeight="false" outlineLevel="0" collapsed="false">
      <c r="A32" s="10" t="n">
        <v>7.87845730781555</v>
      </c>
      <c r="B32" s="11" t="n">
        <v>0</v>
      </c>
      <c r="C32" s="12" t="n">
        <f aca="false">B32*'Correction factors'!$B$7</f>
        <v>0</v>
      </c>
      <c r="D32" s="13" t="n">
        <v>1.049108</v>
      </c>
      <c r="E32" s="14" t="n">
        <v>0</v>
      </c>
      <c r="F32" s="10" t="n">
        <f aca="false">E32/'Correction factors'!$B$10</f>
        <v>0</v>
      </c>
      <c r="G32" s="11" t="n">
        <v>416</v>
      </c>
    </row>
    <row r="33" customFormat="false" ht="15" hidden="false" customHeight="false" outlineLevel="0" collapsed="false">
      <c r="A33" s="10" t="n">
        <v>7.87845730781555</v>
      </c>
      <c r="B33" s="11" t="n">
        <v>0</v>
      </c>
      <c r="C33" s="12" t="n">
        <f aca="false">B33*'Correction factors'!$B$7</f>
        <v>0</v>
      </c>
      <c r="D33" s="13" t="n">
        <v>1.049108</v>
      </c>
      <c r="E33" s="14" t="n">
        <v>0</v>
      </c>
      <c r="F33" s="10" t="n">
        <f aca="false">E33/'Correction factors'!$B$10</f>
        <v>0</v>
      </c>
      <c r="G33" s="11" t="n">
        <v>418</v>
      </c>
    </row>
    <row r="34" customFormat="false" ht="15" hidden="false" customHeight="false" outlineLevel="0" collapsed="false">
      <c r="A34" s="10" t="n">
        <v>7.87845730781555</v>
      </c>
      <c r="B34" s="11" t="n">
        <v>0</v>
      </c>
      <c r="C34" s="12" t="n">
        <f aca="false">B34*'Correction factors'!$B$7</f>
        <v>0</v>
      </c>
      <c r="D34" s="13" t="n">
        <v>1.05893</v>
      </c>
      <c r="E34" s="14" t="n">
        <v>0</v>
      </c>
      <c r="F34" s="10" t="n">
        <f aca="false">E34/'Correction factors'!$B$10</f>
        <v>0</v>
      </c>
      <c r="G34" s="11" t="n">
        <v>428</v>
      </c>
    </row>
    <row r="35" customFormat="false" ht="15" hidden="false" customHeight="false" outlineLevel="0" collapsed="false">
      <c r="A35" s="10" t="n">
        <v>8.37954616546631</v>
      </c>
      <c r="B35" s="11" t="n">
        <v>0</v>
      </c>
      <c r="C35" s="12" t="n">
        <f aca="false">B35*'Correction factors'!$B$7</f>
        <v>0</v>
      </c>
      <c r="D35" s="13" t="n">
        <v>1.049108</v>
      </c>
      <c r="E35" s="14" t="n">
        <v>0</v>
      </c>
      <c r="F35" s="10" t="n">
        <f aca="false">E35/'Correction factors'!$B$10</f>
        <v>0</v>
      </c>
      <c r="G35" s="11" t="n">
        <v>436</v>
      </c>
    </row>
    <row r="36" customFormat="false" ht="15" hidden="false" customHeight="false" outlineLevel="0" collapsed="false">
      <c r="A36" s="10" t="n">
        <v>8.37954616546631</v>
      </c>
      <c r="B36" s="11" t="n">
        <v>0</v>
      </c>
      <c r="C36" s="12" t="n">
        <f aca="false">B36*'Correction factors'!$B$7</f>
        <v>0</v>
      </c>
      <c r="D36" s="13" t="n">
        <v>1.049108</v>
      </c>
      <c r="E36" s="14" t="n">
        <v>0</v>
      </c>
      <c r="F36" s="10" t="n">
        <f aca="false">E36/'Correction factors'!$B$10</f>
        <v>0</v>
      </c>
      <c r="G36" s="11" t="n">
        <v>437</v>
      </c>
    </row>
    <row r="37" customFormat="false" ht="15" hidden="false" customHeight="false" outlineLevel="0" collapsed="false">
      <c r="A37" s="10" t="n">
        <v>8.82130146026611</v>
      </c>
      <c r="B37" s="11" t="n">
        <v>0</v>
      </c>
      <c r="C37" s="12" t="n">
        <f aca="false">B37*'Correction factors'!$B$7</f>
        <v>0</v>
      </c>
      <c r="D37" s="13" t="n">
        <v>1.05893</v>
      </c>
      <c r="E37" s="14" t="n">
        <v>0</v>
      </c>
      <c r="F37" s="10" t="n">
        <f aca="false">E37/'Correction factors'!$B$10</f>
        <v>0</v>
      </c>
      <c r="G37" s="11" t="n">
        <v>447</v>
      </c>
    </row>
    <row r="38" customFormat="false" ht="15" hidden="false" customHeight="false" outlineLevel="0" collapsed="false">
      <c r="A38" s="10" t="n">
        <v>8.82130146026611</v>
      </c>
      <c r="B38" s="11" t="n">
        <v>0</v>
      </c>
      <c r="C38" s="12" t="n">
        <f aca="false">B38*'Correction factors'!$B$7</f>
        <v>0</v>
      </c>
      <c r="D38" s="13" t="n">
        <v>1.049108</v>
      </c>
      <c r="E38" s="14" t="n">
        <v>0</v>
      </c>
      <c r="F38" s="10" t="n">
        <f aca="false">E38/'Correction factors'!$B$10</f>
        <v>0</v>
      </c>
      <c r="G38" s="11" t="n">
        <v>449</v>
      </c>
    </row>
    <row r="39" customFormat="false" ht="15" hidden="false" customHeight="false" outlineLevel="0" collapsed="false">
      <c r="A39" s="10" t="n">
        <v>9.26267051696777</v>
      </c>
      <c r="B39" s="11" t="n">
        <v>0</v>
      </c>
      <c r="C39" s="12" t="n">
        <f aca="false">B39*'Correction factors'!$B$7</f>
        <v>0</v>
      </c>
      <c r="D39" s="13" t="n">
        <v>1.05893</v>
      </c>
      <c r="E39" s="14" t="n">
        <v>0</v>
      </c>
      <c r="F39" s="10" t="n">
        <f aca="false">E39/'Correction factors'!$B$10</f>
        <v>0</v>
      </c>
      <c r="G39" s="11" t="n">
        <v>460</v>
      </c>
    </row>
    <row r="40" customFormat="false" ht="15" hidden="false" customHeight="false" outlineLevel="0" collapsed="false">
      <c r="A40" s="10" t="n">
        <v>9.26267051696777</v>
      </c>
      <c r="B40" s="11" t="n">
        <v>0</v>
      </c>
      <c r="C40" s="12" t="n">
        <f aca="false">B40*'Correction factors'!$B$7</f>
        <v>0</v>
      </c>
      <c r="D40" s="13" t="n">
        <v>1.049108</v>
      </c>
      <c r="E40" s="14" t="n">
        <v>0</v>
      </c>
      <c r="F40" s="10" t="n">
        <f aca="false">E40/'Correction factors'!$B$10</f>
        <v>0</v>
      </c>
      <c r="G40" s="11" t="n">
        <v>464</v>
      </c>
    </row>
    <row r="41" customFormat="false" ht="15" hidden="false" customHeight="false" outlineLevel="0" collapsed="false">
      <c r="A41" s="10" t="n">
        <v>9.68166995048523</v>
      </c>
      <c r="B41" s="11" t="n">
        <v>0</v>
      </c>
      <c r="C41" s="12" t="n">
        <f aca="false">B41*'Correction factors'!$B$7</f>
        <v>0</v>
      </c>
      <c r="D41" s="13" t="n">
        <v>1.049108</v>
      </c>
      <c r="E41" s="14" t="n">
        <v>0</v>
      </c>
      <c r="F41" s="10" t="n">
        <f aca="false">E41/'Correction factors'!$B$10</f>
        <v>0</v>
      </c>
      <c r="G41" s="11" t="n">
        <v>471</v>
      </c>
    </row>
    <row r="42" customFormat="false" ht="15" hidden="false" customHeight="false" outlineLevel="0" collapsed="false">
      <c r="A42" s="10" t="n">
        <v>9.68166995048523</v>
      </c>
      <c r="B42" s="11" t="n">
        <v>0</v>
      </c>
      <c r="C42" s="12" t="n">
        <f aca="false">B42*'Correction factors'!$B$7</f>
        <v>0</v>
      </c>
      <c r="D42" s="13" t="n">
        <v>1.068751</v>
      </c>
      <c r="E42" s="14" t="n">
        <v>0</v>
      </c>
      <c r="F42" s="10" t="n">
        <f aca="false">E42/'Correction factors'!$B$10</f>
        <v>0</v>
      </c>
      <c r="G42" s="11" t="n">
        <v>475</v>
      </c>
    </row>
    <row r="43" customFormat="false" ht="15" hidden="false" customHeight="false" outlineLevel="0" collapsed="false">
      <c r="A43" s="10" t="n">
        <v>10.1016066074371</v>
      </c>
      <c r="B43" s="11" t="n">
        <v>0</v>
      </c>
      <c r="C43" s="12" t="n">
        <f aca="false">B43*'Correction factors'!$B$7</f>
        <v>0</v>
      </c>
      <c r="D43" s="13" t="n">
        <v>1.589296</v>
      </c>
      <c r="E43" s="14" t="n">
        <v>64</v>
      </c>
      <c r="F43" s="10" t="n">
        <f aca="false">E43/'Correction factors'!$B$10</f>
        <v>5.1616</v>
      </c>
      <c r="G43" s="11" t="n">
        <v>484</v>
      </c>
    </row>
    <row r="44" customFormat="false" ht="15" hidden="false" customHeight="false" outlineLevel="0" collapsed="false">
      <c r="A44" s="10" t="n">
        <v>10.1016066074371</v>
      </c>
      <c r="B44" s="11" t="n">
        <v>0</v>
      </c>
      <c r="C44" s="12" t="n">
        <f aca="false">B44*'Correction factors'!$B$7</f>
        <v>0</v>
      </c>
      <c r="D44" s="13" t="n">
        <v>1.844657</v>
      </c>
      <c r="E44" s="14" t="n">
        <v>264</v>
      </c>
      <c r="F44" s="10" t="n">
        <f aca="false">E44/'Correction factors'!$B$10</f>
        <v>21.2916</v>
      </c>
      <c r="G44" s="11" t="n">
        <v>488</v>
      </c>
    </row>
    <row r="45" customFormat="false" ht="15" hidden="false" customHeight="false" outlineLevel="0" collapsed="false">
      <c r="A45" s="10" t="n">
        <v>10.5237257480621</v>
      </c>
      <c r="B45" s="11" t="n">
        <v>0</v>
      </c>
      <c r="C45" s="12" t="n">
        <f aca="false">B45*'Correction factors'!$B$7</f>
        <v>0</v>
      </c>
      <c r="D45" s="13" t="n">
        <v>1.952695</v>
      </c>
      <c r="E45" s="14" t="n">
        <v>352</v>
      </c>
      <c r="F45" s="10" t="n">
        <f aca="false">E45/'Correction factors'!$B$10</f>
        <v>28.3888</v>
      </c>
      <c r="G45" s="11" t="n">
        <v>496</v>
      </c>
    </row>
    <row r="46" customFormat="false" ht="15" hidden="false" customHeight="false" outlineLevel="0" collapsed="false">
      <c r="A46" s="10" t="n">
        <v>10.5237257480621</v>
      </c>
      <c r="B46" s="11" t="n">
        <v>0</v>
      </c>
      <c r="C46" s="12" t="n">
        <f aca="false">B46*'Correction factors'!$B$7</f>
        <v>0</v>
      </c>
      <c r="D46" s="13" t="n">
        <v>2.070554</v>
      </c>
      <c r="E46" s="14" t="n">
        <v>400</v>
      </c>
      <c r="F46" s="10" t="n">
        <f aca="false">E46/'Correction factors'!$B$10</f>
        <v>32.26</v>
      </c>
      <c r="G46" s="11" t="n">
        <v>499</v>
      </c>
    </row>
    <row r="47" customFormat="false" ht="15" hidden="false" customHeight="false" outlineLevel="0" collapsed="false">
      <c r="A47" s="10" t="n">
        <v>10.9430947303772</v>
      </c>
      <c r="B47" s="11" t="n">
        <v>0</v>
      </c>
      <c r="C47" s="12" t="n">
        <f aca="false">B47*'Correction factors'!$B$7</f>
        <v>0</v>
      </c>
      <c r="D47" s="13" t="n">
        <v>2.188413</v>
      </c>
      <c r="E47" s="14" t="n">
        <v>424</v>
      </c>
      <c r="F47" s="10" t="n">
        <f aca="false">E47/'Correction factors'!$B$10</f>
        <v>34.1956</v>
      </c>
      <c r="G47" s="11" t="n">
        <v>509</v>
      </c>
    </row>
    <row r="48" customFormat="false" ht="15" hidden="false" customHeight="false" outlineLevel="0" collapsed="false">
      <c r="A48" s="10" t="n">
        <v>10.9430947303772</v>
      </c>
      <c r="B48" s="11" t="n">
        <v>0</v>
      </c>
      <c r="C48" s="12" t="n">
        <f aca="false">B48*'Correction factors'!$B$7</f>
        <v>0</v>
      </c>
      <c r="D48" s="13" t="n">
        <v>2.276807</v>
      </c>
      <c r="E48" s="14" t="n">
        <v>464</v>
      </c>
      <c r="F48" s="10" t="n">
        <f aca="false">E48/'Correction factors'!$B$10</f>
        <v>37.4216</v>
      </c>
      <c r="G48" s="11" t="n">
        <v>509</v>
      </c>
    </row>
    <row r="49" customFormat="false" ht="15" hidden="false" customHeight="false" outlineLevel="0" collapsed="false">
      <c r="A49" s="10" t="n">
        <v>11.4130501747131</v>
      </c>
      <c r="B49" s="11" t="n">
        <v>0</v>
      </c>
      <c r="C49" s="12" t="n">
        <f aca="false">B49*'Correction factors'!$B$7</f>
        <v>0</v>
      </c>
      <c r="D49" s="13" t="n">
        <v>2.35538</v>
      </c>
      <c r="E49" s="14" t="n">
        <v>472</v>
      </c>
      <c r="F49" s="10" t="n">
        <f aca="false">E49/'Correction factors'!$B$10</f>
        <v>38.0668</v>
      </c>
      <c r="G49" s="11" t="n">
        <v>509</v>
      </c>
    </row>
    <row r="50" customFormat="false" ht="15" hidden="false" customHeight="false" outlineLevel="0" collapsed="false">
      <c r="A50" s="10" t="n">
        <v>11.4130501747131</v>
      </c>
      <c r="B50" s="11" t="n">
        <v>0</v>
      </c>
      <c r="C50" s="12" t="n">
        <f aca="false">B50*'Correction factors'!$B$7</f>
        <v>0</v>
      </c>
      <c r="D50" s="13" t="n">
        <v>2.433953</v>
      </c>
      <c r="E50" s="14" t="n">
        <v>496</v>
      </c>
      <c r="F50" s="10" t="n">
        <f aca="false">E50/'Correction factors'!$B$10</f>
        <v>40.0024</v>
      </c>
      <c r="G50" s="11" t="n">
        <v>509</v>
      </c>
    </row>
    <row r="51" customFormat="false" ht="15" hidden="false" customHeight="false" outlineLevel="0" collapsed="false">
      <c r="A51" s="10" t="n">
        <v>11.4130501747131</v>
      </c>
      <c r="B51" s="11" t="n">
        <v>0</v>
      </c>
      <c r="C51" s="12" t="n">
        <f aca="false">B51*'Correction factors'!$B$7</f>
        <v>0</v>
      </c>
      <c r="D51" s="13" t="n">
        <v>2.492883</v>
      </c>
      <c r="E51" s="14" t="n">
        <v>512</v>
      </c>
      <c r="F51" s="10" t="n">
        <f aca="false">E51/'Correction factors'!$B$10</f>
        <v>41.2928</v>
      </c>
      <c r="G51" s="11" t="n">
        <v>509</v>
      </c>
    </row>
    <row r="52" customFormat="false" ht="15" hidden="false" customHeight="false" outlineLevel="0" collapsed="false">
      <c r="A52" s="10" t="n">
        <v>11.8717215061188</v>
      </c>
      <c r="B52" s="11" t="n">
        <v>80</v>
      </c>
      <c r="C52" s="12" t="n">
        <f aca="false">B52*'Correction factors'!$B$7</f>
        <v>387.12</v>
      </c>
      <c r="D52" s="13" t="n">
        <v>2.561634</v>
      </c>
      <c r="E52" s="14" t="n">
        <v>520</v>
      </c>
      <c r="F52" s="10" t="n">
        <f aca="false">E52/'Correction factors'!$B$10</f>
        <v>41.938</v>
      </c>
      <c r="G52" s="11" t="n">
        <v>509</v>
      </c>
    </row>
    <row r="53" customFormat="false" ht="15" hidden="false" customHeight="false" outlineLevel="0" collapsed="false">
      <c r="A53" s="10" t="n">
        <v>11.8717215061188</v>
      </c>
      <c r="B53" s="11" t="n">
        <v>540</v>
      </c>
      <c r="C53" s="12" t="n">
        <f aca="false">B53*'Correction factors'!$B$7</f>
        <v>2613.06</v>
      </c>
      <c r="D53" s="13" t="n">
        <v>2.610742</v>
      </c>
      <c r="E53" s="14" t="n">
        <v>528</v>
      </c>
      <c r="F53" s="10" t="n">
        <f aca="false">E53/'Correction factors'!$B$10</f>
        <v>42.5832</v>
      </c>
      <c r="G53" s="11" t="n">
        <v>507</v>
      </c>
    </row>
    <row r="54" customFormat="false" ht="15" hidden="false" customHeight="false" outlineLevel="0" collapsed="false">
      <c r="A54" s="10" t="n">
        <v>12.3020894527435</v>
      </c>
      <c r="B54" s="11" t="n">
        <v>600</v>
      </c>
      <c r="C54" s="12" t="n">
        <f aca="false">B54*'Correction factors'!$B$7</f>
        <v>2903.4</v>
      </c>
      <c r="D54" s="13" t="n">
        <v>2.699136</v>
      </c>
      <c r="E54" s="14" t="n">
        <v>536</v>
      </c>
      <c r="F54" s="10" t="n">
        <f aca="false">E54/'Correction factors'!$B$10</f>
        <v>43.2284</v>
      </c>
      <c r="G54" s="11" t="n">
        <v>449</v>
      </c>
    </row>
    <row r="55" customFormat="false" ht="15" hidden="false" customHeight="false" outlineLevel="0" collapsed="false">
      <c r="A55" s="10" t="n">
        <v>12.3020894527435</v>
      </c>
      <c r="B55" s="11" t="n">
        <v>560</v>
      </c>
      <c r="C55" s="12" t="n">
        <f aca="false">B55*'Correction factors'!$B$7</f>
        <v>2709.84</v>
      </c>
      <c r="D55" s="13" t="n">
        <v>2.767887</v>
      </c>
      <c r="E55" s="14" t="n">
        <v>472</v>
      </c>
      <c r="F55" s="10" t="n">
        <f aca="false">E55/'Correction factors'!$B$10</f>
        <v>38.0668</v>
      </c>
      <c r="G55" s="11" t="n">
        <v>439</v>
      </c>
    </row>
    <row r="56" customFormat="false" ht="15" hidden="false" customHeight="false" outlineLevel="0" collapsed="false">
      <c r="A56" s="10" t="n">
        <v>12.7485320568085</v>
      </c>
      <c r="B56" s="11" t="n">
        <v>580</v>
      </c>
      <c r="C56" s="12" t="n">
        <f aca="false">B56*'Correction factors'!$B$7</f>
        <v>2806.62</v>
      </c>
      <c r="D56" s="13" t="n">
        <v>2.866103</v>
      </c>
      <c r="E56" s="14" t="n">
        <v>456</v>
      </c>
      <c r="F56" s="10" t="n">
        <f aca="false">E56/'Correction factors'!$B$10</f>
        <v>36.7764</v>
      </c>
      <c r="G56" s="11" t="n">
        <v>424</v>
      </c>
    </row>
    <row r="57" customFormat="false" ht="15" hidden="false" customHeight="false" outlineLevel="0" collapsed="false">
      <c r="A57" s="10" t="n">
        <v>12.7485320568085</v>
      </c>
      <c r="B57" s="11" t="n">
        <v>560</v>
      </c>
      <c r="C57" s="12" t="n">
        <f aca="false">B57*'Correction factors'!$B$7</f>
        <v>2709.84</v>
      </c>
      <c r="D57" s="13" t="n">
        <v>2.944676</v>
      </c>
      <c r="E57" s="14" t="n">
        <v>416</v>
      </c>
      <c r="F57" s="10" t="n">
        <f aca="false">E57/'Correction factors'!$B$10</f>
        <v>33.5504</v>
      </c>
      <c r="G57" s="11" t="n">
        <v>419</v>
      </c>
    </row>
    <row r="58" customFormat="false" ht="15" hidden="false" customHeight="false" outlineLevel="0" collapsed="false">
      <c r="A58" s="10" t="n">
        <v>13.1823942661285</v>
      </c>
      <c r="B58" s="11" t="n">
        <v>540</v>
      </c>
      <c r="C58" s="12" t="n">
        <f aca="false">B58*'Correction factors'!$B$7</f>
        <v>2613.06</v>
      </c>
      <c r="D58" s="13" t="n">
        <v>3.072357</v>
      </c>
      <c r="E58" s="14" t="n">
        <v>416</v>
      </c>
      <c r="F58" s="10" t="n">
        <f aca="false">E58/'Correction factors'!$B$10</f>
        <v>33.5504</v>
      </c>
      <c r="G58" s="11" t="n">
        <v>400</v>
      </c>
    </row>
    <row r="59" customFormat="false" ht="15" hidden="false" customHeight="false" outlineLevel="0" collapsed="false">
      <c r="A59" s="10" t="n">
        <v>13.1823942661285</v>
      </c>
      <c r="B59" s="11" t="n">
        <v>480</v>
      </c>
      <c r="C59" s="12" t="n">
        <f aca="false">B59*'Correction factors'!$B$7</f>
        <v>2322.72</v>
      </c>
      <c r="D59" s="13" t="n">
        <v>3.170573</v>
      </c>
      <c r="E59" s="14" t="n">
        <v>344</v>
      </c>
      <c r="F59" s="10" t="n">
        <f aca="false">E59/'Correction factors'!$B$10</f>
        <v>27.7436</v>
      </c>
      <c r="G59" s="11" t="n">
        <v>397</v>
      </c>
    </row>
    <row r="60" customFormat="false" ht="15" hidden="false" customHeight="false" outlineLevel="0" collapsed="false">
      <c r="A60" s="10" t="n">
        <v>13.6324317455292</v>
      </c>
      <c r="B60" s="11" t="n">
        <v>500</v>
      </c>
      <c r="C60" s="12" t="n">
        <f aca="false">B60*'Correction factors'!$B$7</f>
        <v>2419.5</v>
      </c>
      <c r="D60" s="13" t="n">
        <v>3.239324</v>
      </c>
      <c r="E60" s="14" t="n">
        <v>344</v>
      </c>
      <c r="F60" s="10" t="n">
        <f aca="false">E60/'Correction factors'!$B$10</f>
        <v>27.7436</v>
      </c>
      <c r="G60" s="11" t="n">
        <v>395</v>
      </c>
    </row>
    <row r="61" customFormat="false" ht="15" hidden="false" customHeight="false" outlineLevel="0" collapsed="false">
      <c r="A61" s="10" t="n">
        <v>13.6324317455292</v>
      </c>
      <c r="B61" s="11" t="n">
        <v>520</v>
      </c>
      <c r="C61" s="12" t="n">
        <f aca="false">B61*'Correction factors'!$B$7</f>
        <v>2516.28</v>
      </c>
      <c r="D61" s="13" t="n">
        <v>3.33754</v>
      </c>
      <c r="E61" s="14" t="n">
        <v>344</v>
      </c>
      <c r="F61" s="10" t="n">
        <f aca="false">E61/'Correction factors'!$B$10</f>
        <v>27.7436</v>
      </c>
      <c r="G61" s="11" t="n">
        <v>388</v>
      </c>
    </row>
    <row r="62" customFormat="false" ht="15" hidden="false" customHeight="false" outlineLevel="0" collapsed="false">
      <c r="A62" s="10" t="n">
        <v>14.0842325687408</v>
      </c>
      <c r="B62" s="11" t="n">
        <v>500</v>
      </c>
      <c r="C62" s="12" t="n">
        <f aca="false">B62*'Correction factors'!$B$7</f>
        <v>2419.5</v>
      </c>
      <c r="D62" s="13" t="n">
        <v>3.435756</v>
      </c>
      <c r="E62" s="14" t="n">
        <v>352</v>
      </c>
      <c r="F62" s="10" t="n">
        <f aca="false">E62/'Correction factors'!$B$10</f>
        <v>28.3888</v>
      </c>
      <c r="G62" s="11" t="n">
        <v>370</v>
      </c>
    </row>
    <row r="63" customFormat="false" ht="15" hidden="false" customHeight="false" outlineLevel="0" collapsed="false">
      <c r="A63" s="10" t="n">
        <v>14.0842325687408</v>
      </c>
      <c r="B63" s="11" t="n">
        <v>380</v>
      </c>
      <c r="C63" s="12" t="n">
        <f aca="false">B63*'Correction factors'!$B$7</f>
        <v>1838.82</v>
      </c>
      <c r="D63" s="13" t="n">
        <v>3.651831</v>
      </c>
      <c r="E63" s="14" t="n">
        <v>264</v>
      </c>
      <c r="F63" s="10" t="n">
        <f aca="false">E63/'Correction factors'!$B$10</f>
        <v>21.2916</v>
      </c>
      <c r="G63" s="11" t="n">
        <v>366</v>
      </c>
    </row>
    <row r="64" customFormat="false" ht="15" hidden="false" customHeight="false" outlineLevel="0" collapsed="false">
      <c r="A64" s="10" t="n">
        <v>14.0842325687408</v>
      </c>
      <c r="B64" s="11" t="n">
        <v>360</v>
      </c>
      <c r="C64" s="12" t="n">
        <f aca="false">B64*'Correction factors'!$B$7</f>
        <v>1742.04</v>
      </c>
      <c r="D64" s="13" t="n">
        <v>3.779511</v>
      </c>
      <c r="E64" s="14" t="n">
        <v>224</v>
      </c>
      <c r="F64" s="10" t="n">
        <f aca="false">E64/'Correction factors'!$B$10</f>
        <v>18.0656</v>
      </c>
      <c r="G64" s="11" t="n">
        <v>372</v>
      </c>
    </row>
    <row r="65" customFormat="false" ht="15" hidden="false" customHeight="false" outlineLevel="0" collapsed="false">
      <c r="A65" s="10" t="n">
        <v>14.5850834846497</v>
      </c>
      <c r="B65" s="11" t="n">
        <v>360</v>
      </c>
      <c r="C65" s="12" t="n">
        <f aca="false">B65*'Correction factors'!$B$7</f>
        <v>1742.04</v>
      </c>
      <c r="D65" s="13" t="n">
        <v>3.907192</v>
      </c>
      <c r="E65" s="14" t="n">
        <v>216</v>
      </c>
      <c r="F65" s="10" t="n">
        <f aca="false">E65/'Correction factors'!$B$10</f>
        <v>17.4204</v>
      </c>
      <c r="G65" s="11" t="n">
        <v>374</v>
      </c>
    </row>
    <row r="66" customFormat="false" ht="15" hidden="false" customHeight="false" outlineLevel="0" collapsed="false">
      <c r="A66" s="10" t="n">
        <v>14.5850834846497</v>
      </c>
      <c r="B66" s="11" t="n">
        <v>380</v>
      </c>
      <c r="C66" s="12" t="n">
        <f aca="false">B66*'Correction factors'!$B$7</f>
        <v>1838.82</v>
      </c>
      <c r="D66" s="13" t="n">
        <v>3.995586</v>
      </c>
      <c r="E66" s="14" t="n">
        <v>232</v>
      </c>
      <c r="F66" s="10" t="n">
        <f aca="false">E66/'Correction factors'!$B$10</f>
        <v>18.7108</v>
      </c>
      <c r="G66" s="11" t="n">
        <v>371</v>
      </c>
    </row>
    <row r="67" customFormat="false" ht="15" hidden="false" customHeight="false" outlineLevel="0" collapsed="false">
      <c r="A67" s="10" t="n">
        <v>15.0367248058319</v>
      </c>
      <c r="B67" s="11" t="n">
        <v>400</v>
      </c>
      <c r="C67" s="12" t="n">
        <f aca="false">B67*'Correction factors'!$B$7</f>
        <v>1935.6</v>
      </c>
      <c r="D67" s="13" t="n">
        <v>4.133089</v>
      </c>
      <c r="E67" s="14" t="n">
        <v>232</v>
      </c>
      <c r="F67" s="10" t="n">
        <f aca="false">E67/'Correction factors'!$B$10</f>
        <v>18.7108</v>
      </c>
      <c r="G67" s="11" t="n">
        <v>360</v>
      </c>
    </row>
    <row r="68" customFormat="false" ht="15" hidden="false" customHeight="false" outlineLevel="0" collapsed="false">
      <c r="A68" s="10" t="n">
        <v>15.0367248058319</v>
      </c>
      <c r="B68" s="11" t="n">
        <v>360</v>
      </c>
      <c r="C68" s="12" t="n">
        <f aca="false">B68*'Correction factors'!$B$7</f>
        <v>1742.04</v>
      </c>
      <c r="D68" s="13" t="n">
        <v>4.231305</v>
      </c>
      <c r="E68" s="14" t="n">
        <v>168</v>
      </c>
      <c r="F68" s="10" t="n">
        <f aca="false">E68/'Correction factors'!$B$10</f>
        <v>13.5492</v>
      </c>
      <c r="G68" s="11" t="n">
        <v>358</v>
      </c>
    </row>
    <row r="69" customFormat="false" ht="15" hidden="false" customHeight="false" outlineLevel="0" collapsed="false">
      <c r="A69" s="10" t="n">
        <v>15.5303695201874</v>
      </c>
      <c r="B69" s="11" t="n">
        <v>360</v>
      </c>
      <c r="C69" s="12" t="n">
        <f aca="false">B69*'Correction factors'!$B$7</f>
        <v>1742.04</v>
      </c>
      <c r="D69" s="13" t="n">
        <v>4.368807</v>
      </c>
      <c r="E69" s="14" t="n">
        <v>112</v>
      </c>
      <c r="F69" s="10" t="n">
        <f aca="false">E69/'Correction factors'!$B$10</f>
        <v>9.0328</v>
      </c>
      <c r="G69" s="11" t="n">
        <v>354</v>
      </c>
    </row>
    <row r="70" customFormat="false" ht="15" hidden="false" customHeight="false" outlineLevel="0" collapsed="false">
      <c r="A70" s="10" t="n">
        <v>15.5303695201874</v>
      </c>
      <c r="B70" s="11" t="n">
        <v>340</v>
      </c>
      <c r="C70" s="12" t="n">
        <f aca="false">B70*'Correction factors'!$B$7</f>
        <v>1645.26</v>
      </c>
      <c r="D70" s="13" t="n">
        <v>4.496488</v>
      </c>
      <c r="E70" s="14" t="n">
        <v>104</v>
      </c>
      <c r="F70" s="10" t="n">
        <f aca="false">E70/'Correction factors'!$B$10</f>
        <v>8.3876</v>
      </c>
      <c r="G70" s="11" t="n">
        <v>351</v>
      </c>
    </row>
    <row r="71" customFormat="false" ht="15" hidden="false" customHeight="false" outlineLevel="0" collapsed="false">
      <c r="A71" s="10" t="n">
        <v>15.5303695201874</v>
      </c>
      <c r="B71" s="11" t="n">
        <v>340</v>
      </c>
      <c r="C71" s="12" t="n">
        <f aca="false">B71*'Correction factors'!$B$7</f>
        <v>1645.26</v>
      </c>
      <c r="D71" s="13" t="n">
        <v>4.594704</v>
      </c>
      <c r="E71" s="14" t="n">
        <v>104</v>
      </c>
      <c r="F71" s="10" t="n">
        <f aca="false">E71/'Correction factors'!$B$10</f>
        <v>8.3876</v>
      </c>
      <c r="G71" s="11" t="n">
        <v>348</v>
      </c>
    </row>
    <row r="72" customFormat="false" ht="15" hidden="false" customHeight="false" outlineLevel="0" collapsed="false">
      <c r="A72" s="10" t="n">
        <v>16.0415043830872</v>
      </c>
      <c r="B72" s="11" t="n">
        <v>320</v>
      </c>
      <c r="C72" s="12" t="n">
        <f aca="false">B72*'Correction factors'!$B$7</f>
        <v>1548.48</v>
      </c>
      <c r="D72" s="13" t="n">
        <v>4.751849</v>
      </c>
      <c r="E72" s="14" t="n">
        <v>96</v>
      </c>
      <c r="F72" s="10" t="n">
        <f aca="false">E72/'Correction factors'!$B$10</f>
        <v>7.7424</v>
      </c>
      <c r="G72" s="11" t="n">
        <v>343</v>
      </c>
    </row>
    <row r="73" customFormat="false" ht="15" hidden="false" customHeight="false" outlineLevel="0" collapsed="false">
      <c r="A73" s="10" t="n">
        <v>16.0415043830872</v>
      </c>
      <c r="B73" s="11" t="n">
        <v>280</v>
      </c>
      <c r="C73" s="12" t="n">
        <f aca="false">B73*'Correction factors'!$B$7</f>
        <v>1354.92</v>
      </c>
      <c r="D73" s="13" t="n">
        <v>4.869708</v>
      </c>
      <c r="E73" s="14" t="n">
        <v>72</v>
      </c>
      <c r="F73" s="10" t="n">
        <f aca="false">E73/'Correction factors'!$B$10</f>
        <v>5.8068</v>
      </c>
      <c r="G73" s="11" t="n">
        <v>343</v>
      </c>
    </row>
    <row r="74" customFormat="false" ht="15" hidden="false" customHeight="false" outlineLevel="0" collapsed="false">
      <c r="A74" s="10" t="n">
        <v>16.5000109672546</v>
      </c>
      <c r="B74" s="11" t="n">
        <v>280</v>
      </c>
      <c r="C74" s="12" t="n">
        <f aca="false">B74*'Correction factors'!$B$7</f>
        <v>1354.92</v>
      </c>
      <c r="D74" s="13" t="n">
        <v>4.987567</v>
      </c>
      <c r="E74" s="14" t="n">
        <v>72</v>
      </c>
      <c r="F74" s="10" t="n">
        <f aca="false">E74/'Correction factors'!$B$10</f>
        <v>5.8068</v>
      </c>
      <c r="G74" s="11" t="n">
        <v>345</v>
      </c>
    </row>
    <row r="75" customFormat="false" ht="15" hidden="false" customHeight="false" outlineLevel="0" collapsed="false">
      <c r="A75" s="10" t="n">
        <v>16.5000109672546</v>
      </c>
      <c r="B75" s="11" t="n">
        <v>300</v>
      </c>
      <c r="C75" s="12" t="n">
        <f aca="false">B75*'Correction factors'!$B$7</f>
        <v>1451.7</v>
      </c>
      <c r="D75" s="13" t="n">
        <v>5.075962</v>
      </c>
      <c r="E75" s="14" t="n">
        <v>80</v>
      </c>
      <c r="F75" s="10" t="n">
        <f aca="false">E75/'Correction factors'!$B$10</f>
        <v>6.452</v>
      </c>
      <c r="G75" s="11" t="n">
        <v>344</v>
      </c>
    </row>
    <row r="76" customFormat="false" ht="15" hidden="false" customHeight="false" outlineLevel="0" collapsed="false">
      <c r="A76" s="10" t="n">
        <v>16.9607458114624</v>
      </c>
      <c r="B76" s="11" t="n">
        <v>300</v>
      </c>
      <c r="C76" s="12" t="n">
        <f aca="false">B76*'Correction factors'!$B$7</f>
        <v>1451.7</v>
      </c>
      <c r="D76" s="13" t="n">
        <v>5.184</v>
      </c>
      <c r="E76" s="14" t="n">
        <v>72</v>
      </c>
      <c r="F76" s="10" t="n">
        <f aca="false">E76/'Correction factors'!$B$10</f>
        <v>5.8068</v>
      </c>
      <c r="G76" s="11" t="n">
        <v>337</v>
      </c>
    </row>
    <row r="77" customFormat="false" ht="15" hidden="false" customHeight="false" outlineLevel="0" collapsed="false">
      <c r="A77" s="10" t="n">
        <v>16.9607458114624</v>
      </c>
      <c r="B77" s="11" t="n">
        <v>260</v>
      </c>
      <c r="C77" s="12" t="n">
        <f aca="false">B77*'Correction factors'!$B$7</f>
        <v>1258.14</v>
      </c>
      <c r="D77" s="13" t="n">
        <v>5.292037</v>
      </c>
      <c r="E77" s="14" t="n">
        <v>64</v>
      </c>
      <c r="F77" s="10" t="n">
        <f aca="false">E77/'Correction factors'!$B$10</f>
        <v>5.1616</v>
      </c>
      <c r="G77" s="11" t="n">
        <v>336</v>
      </c>
    </row>
    <row r="78" customFormat="false" ht="15" hidden="false" customHeight="false" outlineLevel="0" collapsed="false">
      <c r="A78" s="10" t="n">
        <v>17.4267823696137</v>
      </c>
      <c r="B78" s="11" t="n">
        <v>260</v>
      </c>
      <c r="C78" s="12" t="n">
        <f aca="false">B78*'Correction factors'!$B$7</f>
        <v>1258.14</v>
      </c>
      <c r="D78" s="13" t="n">
        <v>5.400074</v>
      </c>
      <c r="E78" s="14" t="n">
        <v>64</v>
      </c>
      <c r="F78" s="10" t="n">
        <f aca="false">E78/'Correction factors'!$B$10</f>
        <v>5.1616</v>
      </c>
      <c r="G78" s="11" t="n">
        <v>337</v>
      </c>
    </row>
    <row r="79" customFormat="false" ht="15" hidden="false" customHeight="false" outlineLevel="0" collapsed="false">
      <c r="A79" s="10" t="n">
        <v>17.4267823696137</v>
      </c>
      <c r="B79" s="11" t="n">
        <v>240</v>
      </c>
      <c r="C79" s="12" t="n">
        <f aca="false">B79*'Correction factors'!$B$7</f>
        <v>1161.36</v>
      </c>
      <c r="D79" s="13" t="n">
        <v>5.488469</v>
      </c>
      <c r="E79" s="14" t="n">
        <v>64</v>
      </c>
      <c r="F79" s="10" t="n">
        <f aca="false">E79/'Correction factors'!$B$10</f>
        <v>5.1616</v>
      </c>
      <c r="G79" s="11" t="n">
        <v>339</v>
      </c>
    </row>
    <row r="80" customFormat="false" ht="15" hidden="false" customHeight="false" outlineLevel="0" collapsed="false">
      <c r="A80" s="10" t="n">
        <v>17.4267823696137</v>
      </c>
      <c r="B80" s="11" t="n">
        <v>240</v>
      </c>
      <c r="C80" s="12" t="n">
        <f aca="false">B80*'Correction factors'!$B$7</f>
        <v>1161.36</v>
      </c>
      <c r="D80" s="13" t="n">
        <v>5.547399</v>
      </c>
      <c r="E80" s="14" t="n">
        <v>64</v>
      </c>
      <c r="F80" s="10" t="n">
        <f aca="false">E80/'Correction factors'!$B$10</f>
        <v>5.1616</v>
      </c>
      <c r="G80" s="11" t="n">
        <v>337</v>
      </c>
    </row>
    <row r="81" customFormat="false" ht="15" hidden="false" customHeight="false" outlineLevel="0" collapsed="false">
      <c r="A81" s="10" t="n">
        <v>17.9229094982147</v>
      </c>
      <c r="B81" s="11" t="n">
        <v>260</v>
      </c>
      <c r="C81" s="12" t="n">
        <f aca="false">B81*'Correction factors'!$B$7</f>
        <v>1258.14</v>
      </c>
      <c r="D81" s="13" t="n">
        <v>5.61615</v>
      </c>
      <c r="E81" s="14" t="n">
        <v>72</v>
      </c>
      <c r="F81" s="10" t="n">
        <f aca="false">E81/'Correction factors'!$B$10</f>
        <v>5.8068</v>
      </c>
      <c r="G81" s="11" t="n">
        <v>339</v>
      </c>
    </row>
    <row r="82" customFormat="false" ht="15" hidden="false" customHeight="false" outlineLevel="0" collapsed="false">
      <c r="A82" s="10" t="n">
        <v>17.9229094982147</v>
      </c>
      <c r="B82" s="11" t="n">
        <v>280</v>
      </c>
      <c r="C82" s="12" t="n">
        <f aca="false">B82*'Correction factors'!$B$7</f>
        <v>1354.92</v>
      </c>
      <c r="D82" s="13" t="n">
        <v>5.665258</v>
      </c>
      <c r="E82" s="14" t="n">
        <v>64</v>
      </c>
      <c r="F82" s="10" t="n">
        <f aca="false">E82/'Correction factors'!$B$10</f>
        <v>5.1616</v>
      </c>
      <c r="G82" s="11" t="n">
        <v>334</v>
      </c>
    </row>
    <row r="83" customFormat="false" ht="15" hidden="false" customHeight="false" outlineLevel="0" collapsed="false">
      <c r="A83" s="10" t="n">
        <v>18.3924889564514</v>
      </c>
      <c r="B83" s="11" t="n">
        <v>260</v>
      </c>
      <c r="C83" s="12" t="n">
        <f aca="false">B83*'Correction factors'!$B$7</f>
        <v>1258.14</v>
      </c>
      <c r="D83" s="13" t="n">
        <v>5.753652</v>
      </c>
      <c r="E83" s="14" t="n">
        <v>64</v>
      </c>
      <c r="F83" s="10" t="n">
        <f aca="false">E83/'Correction factors'!$B$10</f>
        <v>5.1616</v>
      </c>
      <c r="G83" s="11" t="n">
        <v>327</v>
      </c>
    </row>
    <row r="84" customFormat="false" ht="15" hidden="false" customHeight="false" outlineLevel="0" collapsed="false">
      <c r="A84" s="10" t="n">
        <v>18.3924889564514</v>
      </c>
      <c r="B84" s="11" t="n">
        <v>180</v>
      </c>
      <c r="C84" s="12" t="n">
        <f aca="false">B84*'Correction factors'!$B$7</f>
        <v>871.02</v>
      </c>
      <c r="D84" s="13" t="n">
        <v>5.851868</v>
      </c>
      <c r="E84" s="14" t="n">
        <v>48</v>
      </c>
      <c r="F84" s="10" t="n">
        <f aca="false">E84/'Correction factors'!$B$10</f>
        <v>3.8712</v>
      </c>
      <c r="G84" s="11" t="n">
        <v>328</v>
      </c>
    </row>
    <row r="85" customFormat="false" ht="15" hidden="false" customHeight="false" outlineLevel="0" collapsed="false">
      <c r="A85" s="10" t="n">
        <v>18.8528647422791</v>
      </c>
      <c r="B85" s="11" t="n">
        <v>160</v>
      </c>
      <c r="C85" s="12" t="n">
        <f aca="false">B85*'Correction factors'!$B$7</f>
        <v>774.24</v>
      </c>
      <c r="D85" s="13" t="n">
        <v>5.92062</v>
      </c>
      <c r="E85" s="14" t="n">
        <v>48</v>
      </c>
      <c r="F85" s="10" t="n">
        <f aca="false">E85/'Correction factors'!$B$10</f>
        <v>3.8712</v>
      </c>
      <c r="G85" s="11" t="n">
        <v>340</v>
      </c>
    </row>
    <row r="86" customFormat="false" ht="15" hidden="false" customHeight="false" outlineLevel="0" collapsed="false">
      <c r="A86" s="10" t="n">
        <v>18.8528647422791</v>
      </c>
      <c r="B86" s="11" t="n">
        <v>180</v>
      </c>
      <c r="C86" s="12" t="n">
        <f aca="false">B86*'Correction factors'!$B$7</f>
        <v>871.02</v>
      </c>
      <c r="D86" s="13" t="n">
        <v>5.999192</v>
      </c>
      <c r="E86" s="14" t="n">
        <v>48</v>
      </c>
      <c r="F86" s="10" t="n">
        <f aca="false">E86/'Correction factors'!$B$10</f>
        <v>3.8712</v>
      </c>
      <c r="G86" s="11" t="n">
        <v>341</v>
      </c>
    </row>
    <row r="87" customFormat="false" ht="15" hidden="false" customHeight="false" outlineLevel="0" collapsed="false">
      <c r="A87" s="10" t="n">
        <v>18.8528647422791</v>
      </c>
      <c r="B87" s="11" t="n">
        <v>180</v>
      </c>
      <c r="C87" s="12" t="n">
        <f aca="false">B87*'Correction factors'!$B$7</f>
        <v>871.02</v>
      </c>
      <c r="D87" s="13" t="n">
        <v>6.038478</v>
      </c>
      <c r="E87" s="14" t="n">
        <v>48</v>
      </c>
      <c r="F87" s="10" t="n">
        <f aca="false">E87/'Correction factors'!$B$10</f>
        <v>3.8712</v>
      </c>
      <c r="G87" s="11" t="n">
        <v>341</v>
      </c>
    </row>
    <row r="88" customFormat="false" ht="15" hidden="false" customHeight="false" outlineLevel="0" collapsed="false">
      <c r="A88" s="10" t="n">
        <v>19.3517858982086</v>
      </c>
      <c r="B88" s="11" t="n">
        <v>180</v>
      </c>
      <c r="C88" s="12" t="n">
        <f aca="false">B88*'Correction factors'!$B$7</f>
        <v>871.02</v>
      </c>
      <c r="D88" s="13" t="n">
        <v>6.087586</v>
      </c>
      <c r="E88" s="14" t="n">
        <v>48</v>
      </c>
      <c r="F88" s="10" t="n">
        <f aca="false">E88/'Correction factors'!$B$10</f>
        <v>3.8712</v>
      </c>
      <c r="G88" s="11" t="n">
        <v>341</v>
      </c>
    </row>
    <row r="89" customFormat="false" ht="15" hidden="false" customHeight="false" outlineLevel="0" collapsed="false">
      <c r="A89" s="10" t="n">
        <v>19.3517858982086</v>
      </c>
      <c r="B89" s="11" t="n">
        <v>180</v>
      </c>
      <c r="C89" s="12" t="n">
        <f aca="false">B89*'Correction factors'!$B$7</f>
        <v>871.02</v>
      </c>
      <c r="D89" s="13" t="n">
        <v>6.136694</v>
      </c>
      <c r="E89" s="14" t="n">
        <v>56</v>
      </c>
      <c r="F89" s="10" t="n">
        <f aca="false">E89/'Correction factors'!$B$10</f>
        <v>4.5164</v>
      </c>
      <c r="G89" s="11" t="n">
        <v>341</v>
      </c>
    </row>
    <row r="90" customFormat="false" ht="15" hidden="false" customHeight="false" outlineLevel="0" collapsed="false">
      <c r="A90" s="10" t="n">
        <v>19.8381423950195</v>
      </c>
      <c r="B90" s="11" t="n">
        <v>200</v>
      </c>
      <c r="C90" s="12" t="n">
        <f aca="false">B90*'Correction factors'!$B$7</f>
        <v>967.8</v>
      </c>
      <c r="D90" s="13" t="n">
        <v>6.166159</v>
      </c>
      <c r="E90" s="14" t="n">
        <v>48</v>
      </c>
      <c r="F90" s="10" t="n">
        <f aca="false">E90/'Correction factors'!$B$10</f>
        <v>3.8712</v>
      </c>
      <c r="G90" s="11" t="n">
        <v>342</v>
      </c>
    </row>
    <row r="91" customFormat="false" ht="15" hidden="false" customHeight="false" outlineLevel="0" collapsed="false">
      <c r="A91" s="10" t="n">
        <v>19.8381423950195</v>
      </c>
      <c r="B91" s="11" t="n">
        <v>200</v>
      </c>
      <c r="C91" s="12" t="n">
        <f aca="false">B91*'Correction factors'!$B$7</f>
        <v>967.8</v>
      </c>
      <c r="D91" s="13" t="n">
        <v>6.175981</v>
      </c>
      <c r="E91" s="14" t="n">
        <v>56</v>
      </c>
      <c r="F91" s="10" t="n">
        <f aca="false">E91/'Correction factors'!$B$10</f>
        <v>4.5164</v>
      </c>
      <c r="G91" s="11" t="n">
        <v>341</v>
      </c>
    </row>
    <row r="92" customFormat="false" ht="15" hidden="false" customHeight="false" outlineLevel="0" collapsed="false">
      <c r="A92" s="10" t="n">
        <v>20.2963442802429</v>
      </c>
      <c r="B92" s="11" t="n">
        <v>200</v>
      </c>
      <c r="C92" s="12" t="n">
        <f aca="false">B92*'Correction factors'!$B$7</f>
        <v>967.8</v>
      </c>
      <c r="D92" s="13" t="n">
        <v>6.195624</v>
      </c>
      <c r="E92" s="14" t="n">
        <v>48</v>
      </c>
      <c r="F92" s="10" t="n">
        <f aca="false">E92/'Correction factors'!$B$10</f>
        <v>3.8712</v>
      </c>
      <c r="G92" s="11" t="n">
        <v>341</v>
      </c>
    </row>
    <row r="93" customFormat="false" ht="15" hidden="false" customHeight="false" outlineLevel="0" collapsed="false">
      <c r="A93" s="10" t="n">
        <v>20.2963442802429</v>
      </c>
      <c r="B93" s="11" t="n">
        <v>220</v>
      </c>
      <c r="C93" s="12" t="n">
        <f aca="false">B93*'Correction factors'!$B$7</f>
        <v>1064.58</v>
      </c>
      <c r="D93" s="13" t="n">
        <v>6.205445</v>
      </c>
      <c r="E93" s="14" t="n">
        <v>56</v>
      </c>
      <c r="F93" s="10" t="n">
        <f aca="false">E93/'Correction factors'!$B$10</f>
        <v>4.5164</v>
      </c>
      <c r="G93" s="11" t="n">
        <v>341</v>
      </c>
    </row>
    <row r="94" customFormat="false" ht="15" hidden="false" customHeight="false" outlineLevel="0" collapsed="false">
      <c r="A94" s="10" t="n">
        <v>20.2963442802429</v>
      </c>
      <c r="B94" s="11" t="n">
        <v>220</v>
      </c>
      <c r="C94" s="12" t="n">
        <f aca="false">B94*'Correction factors'!$B$7</f>
        <v>1064.58</v>
      </c>
      <c r="D94" s="13" t="n">
        <v>6.215267</v>
      </c>
      <c r="E94" s="14" t="n">
        <v>48</v>
      </c>
      <c r="F94" s="10" t="n">
        <f aca="false">E94/'Correction factors'!$B$10</f>
        <v>3.8712</v>
      </c>
      <c r="G94" s="11" t="n">
        <v>337</v>
      </c>
    </row>
    <row r="95" customFormat="false" ht="15" hidden="false" customHeight="false" outlineLevel="0" collapsed="false">
      <c r="A95" s="10" t="n">
        <v>20.7782468795776</v>
      </c>
      <c r="B95" s="11" t="n">
        <v>200</v>
      </c>
      <c r="C95" s="12" t="n">
        <f aca="false">B95*'Correction factors'!$B$7</f>
        <v>967.8</v>
      </c>
      <c r="D95" s="13" t="n">
        <v>6.225088</v>
      </c>
      <c r="E95" s="14" t="n">
        <v>56</v>
      </c>
      <c r="F95" s="10" t="n">
        <f aca="false">E95/'Correction factors'!$B$10</f>
        <v>4.5164</v>
      </c>
      <c r="G95" s="11" t="n">
        <v>336</v>
      </c>
    </row>
    <row r="96" customFormat="false" ht="15" hidden="false" customHeight="false" outlineLevel="0" collapsed="false">
      <c r="A96" s="10" t="n">
        <v>20.7782468795776</v>
      </c>
      <c r="B96" s="11" t="n">
        <v>200</v>
      </c>
      <c r="C96" s="12" t="n">
        <f aca="false">B96*'Correction factors'!$B$7</f>
        <v>967.8</v>
      </c>
      <c r="D96" s="13" t="n">
        <v>6.225088</v>
      </c>
      <c r="E96" s="14" t="n">
        <v>48</v>
      </c>
      <c r="F96" s="10" t="n">
        <f aca="false">E96/'Correction factors'!$B$10</f>
        <v>3.8712</v>
      </c>
      <c r="G96" s="11" t="n">
        <v>336</v>
      </c>
    </row>
    <row r="97" customFormat="false" ht="15" hidden="false" customHeight="false" outlineLevel="0" collapsed="false">
      <c r="A97" s="10" t="n">
        <v>21.2090771198273</v>
      </c>
      <c r="B97" s="11" t="n">
        <v>220</v>
      </c>
      <c r="C97" s="12" t="n">
        <f aca="false">B97*'Correction factors'!$B$7</f>
        <v>1064.58</v>
      </c>
      <c r="D97" s="13" t="n">
        <v>6.225088</v>
      </c>
      <c r="E97" s="14" t="n">
        <v>56</v>
      </c>
      <c r="F97" s="10" t="n">
        <f aca="false">E97/'Correction factors'!$B$10</f>
        <v>4.5164</v>
      </c>
      <c r="G97" s="11" t="n">
        <v>336</v>
      </c>
    </row>
    <row r="98" customFormat="false" ht="15" hidden="false" customHeight="false" outlineLevel="0" collapsed="false">
      <c r="A98" s="10" t="n">
        <v>21.2090771198273</v>
      </c>
      <c r="B98" s="11" t="n">
        <v>200</v>
      </c>
      <c r="C98" s="12" t="n">
        <f aca="false">B98*'Correction factors'!$B$7</f>
        <v>967.8</v>
      </c>
      <c r="D98" s="13" t="n">
        <v>6.225088</v>
      </c>
      <c r="E98" s="14" t="n">
        <v>48</v>
      </c>
      <c r="F98" s="10" t="n">
        <f aca="false">E98/'Correction factors'!$B$10</f>
        <v>3.8712</v>
      </c>
      <c r="G98" s="11" t="n">
        <v>336</v>
      </c>
    </row>
    <row r="99" customFormat="false" ht="15" hidden="false" customHeight="false" outlineLevel="0" collapsed="false">
      <c r="A99" s="10" t="n">
        <v>21.6410257816315</v>
      </c>
      <c r="B99" s="11" t="n">
        <v>200</v>
      </c>
      <c r="C99" s="12" t="n">
        <f aca="false">B99*'Correction factors'!$B$7</f>
        <v>967.8</v>
      </c>
      <c r="D99" s="13" t="n">
        <v>6.225088</v>
      </c>
      <c r="E99" s="14" t="n">
        <v>48</v>
      </c>
      <c r="F99" s="10" t="n">
        <f aca="false">E99/'Correction factors'!$B$10</f>
        <v>3.8712</v>
      </c>
      <c r="G99" s="11" t="n">
        <v>336</v>
      </c>
    </row>
    <row r="100" customFormat="false" ht="15" hidden="false" customHeight="false" outlineLevel="0" collapsed="false">
      <c r="A100" s="10" t="n">
        <v>21.6410257816315</v>
      </c>
      <c r="B100" s="11" t="n">
        <v>200</v>
      </c>
      <c r="C100" s="12" t="n">
        <f aca="false">B100*'Correction factors'!$B$7</f>
        <v>967.8</v>
      </c>
      <c r="D100" s="13" t="n">
        <v>6.215267</v>
      </c>
      <c r="E100" s="14" t="n">
        <v>48</v>
      </c>
      <c r="F100" s="10" t="n">
        <f aca="false">E100/'Correction factors'!$B$10</f>
        <v>3.8712</v>
      </c>
      <c r="G100" s="11" t="n">
        <v>336</v>
      </c>
    </row>
    <row r="101" customFormat="false" ht="15" hidden="false" customHeight="false" outlineLevel="0" collapsed="false">
      <c r="A101" s="10" t="n">
        <v>22.0743470191956</v>
      </c>
      <c r="B101" s="11" t="n">
        <v>220</v>
      </c>
      <c r="C101" s="12" t="n">
        <f aca="false">B101*'Correction factors'!$B$7</f>
        <v>1064.58</v>
      </c>
      <c r="D101" s="13" t="n">
        <v>6.215267</v>
      </c>
      <c r="E101" s="14" t="n">
        <v>40</v>
      </c>
      <c r="F101" s="10" t="n">
        <f aca="false">E101/'Correction factors'!$B$10</f>
        <v>3.226</v>
      </c>
      <c r="G101" s="11" t="n">
        <v>336</v>
      </c>
    </row>
    <row r="102" customFormat="false" ht="15" hidden="false" customHeight="false" outlineLevel="0" collapsed="false">
      <c r="A102" s="10" t="n">
        <v>22.0743470191956</v>
      </c>
      <c r="B102" s="11" t="n">
        <v>200</v>
      </c>
      <c r="C102" s="12" t="n">
        <f aca="false">B102*'Correction factors'!$B$7</f>
        <v>967.8</v>
      </c>
      <c r="D102" s="13" t="n">
        <v>6.195624</v>
      </c>
      <c r="E102" s="14" t="n">
        <v>48</v>
      </c>
      <c r="F102" s="10" t="n">
        <f aca="false">E102/'Correction factors'!$B$10</f>
        <v>3.8712</v>
      </c>
      <c r="G102" s="11" t="n">
        <v>335</v>
      </c>
    </row>
    <row r="103" customFormat="false" ht="15" hidden="false" customHeight="false" outlineLevel="0" collapsed="false">
      <c r="A103" s="10" t="n">
        <v>22.5098924636841</v>
      </c>
      <c r="B103" s="11" t="n">
        <v>200</v>
      </c>
      <c r="C103" s="12" t="n">
        <f aca="false">B103*'Correction factors'!$B$7</f>
        <v>967.8</v>
      </c>
      <c r="D103" s="13" t="n">
        <v>6.175981</v>
      </c>
      <c r="E103" s="14" t="n">
        <v>40</v>
      </c>
      <c r="F103" s="10" t="n">
        <f aca="false">E103/'Correction factors'!$B$10</f>
        <v>3.226</v>
      </c>
      <c r="G103" s="11" t="n">
        <v>336</v>
      </c>
    </row>
    <row r="104" customFormat="false" ht="15" hidden="false" customHeight="false" outlineLevel="0" collapsed="false">
      <c r="A104" s="10" t="n">
        <v>22.5098924636841</v>
      </c>
      <c r="B104" s="11" t="n">
        <v>220</v>
      </c>
      <c r="C104" s="12" t="n">
        <f aca="false">B104*'Correction factors'!$B$7</f>
        <v>1064.58</v>
      </c>
      <c r="D104" s="13" t="n">
        <v>6.175981</v>
      </c>
      <c r="E104" s="14" t="n">
        <v>48</v>
      </c>
      <c r="F104" s="10" t="n">
        <f aca="false">E104/'Correction factors'!$B$10</f>
        <v>3.8712</v>
      </c>
      <c r="G104" s="11" t="n">
        <v>336</v>
      </c>
    </row>
    <row r="105" customFormat="false" ht="15" hidden="false" customHeight="false" outlineLevel="0" collapsed="false">
      <c r="A105" s="10" t="n">
        <v>22.9341492652893</v>
      </c>
      <c r="B105" s="11" t="n">
        <v>200</v>
      </c>
      <c r="C105" s="12" t="n">
        <f aca="false">B105*'Correction factors'!$B$7</f>
        <v>967.8</v>
      </c>
      <c r="D105" s="13" t="n">
        <v>6.166159</v>
      </c>
      <c r="E105" s="14" t="n">
        <v>40</v>
      </c>
      <c r="F105" s="10" t="n">
        <f aca="false">E105/'Correction factors'!$B$10</f>
        <v>3.226</v>
      </c>
      <c r="G105" s="11" t="n">
        <v>333</v>
      </c>
    </row>
    <row r="106" customFormat="false" ht="15" hidden="false" customHeight="false" outlineLevel="0" collapsed="false">
      <c r="A106" s="10" t="n">
        <v>22.9341492652893</v>
      </c>
      <c r="B106" s="11" t="n">
        <v>200</v>
      </c>
      <c r="C106" s="12" t="n">
        <f aca="false">B106*'Correction factors'!$B$7</f>
        <v>967.8</v>
      </c>
      <c r="D106" s="13" t="n">
        <v>6.166159</v>
      </c>
      <c r="E106" s="14" t="n">
        <v>48</v>
      </c>
      <c r="F106" s="10" t="n">
        <f aca="false">E106/'Correction factors'!$B$10</f>
        <v>3.8712</v>
      </c>
      <c r="G106" s="11" t="n">
        <v>334</v>
      </c>
    </row>
    <row r="107" customFormat="false" ht="15" hidden="false" customHeight="false" outlineLevel="0" collapsed="false">
      <c r="A107" s="10" t="n">
        <v>23.3432629108429</v>
      </c>
      <c r="B107" s="11" t="n">
        <v>200</v>
      </c>
      <c r="C107" s="12" t="n">
        <f aca="false">B107*'Correction factors'!$B$7</f>
        <v>967.8</v>
      </c>
      <c r="D107" s="13" t="n">
        <v>6.146516</v>
      </c>
      <c r="E107" s="14" t="n">
        <v>40</v>
      </c>
      <c r="F107" s="10" t="n">
        <f aca="false">E107/'Correction factors'!$B$10</f>
        <v>3.226</v>
      </c>
      <c r="G107" s="11" t="n">
        <v>336</v>
      </c>
    </row>
    <row r="108" customFormat="false" ht="15" hidden="false" customHeight="false" outlineLevel="0" collapsed="false">
      <c r="A108" s="10" t="n">
        <v>23.3432629108429</v>
      </c>
      <c r="B108" s="11" t="n">
        <v>200</v>
      </c>
      <c r="C108" s="12" t="n">
        <f aca="false">B108*'Correction factors'!$B$7</f>
        <v>967.8</v>
      </c>
      <c r="D108" s="13" t="n">
        <v>6.126873</v>
      </c>
      <c r="E108" s="14" t="n">
        <v>40</v>
      </c>
      <c r="F108" s="10" t="n">
        <f aca="false">E108/'Correction factors'!$B$10</f>
        <v>3.226</v>
      </c>
      <c r="G108" s="11" t="n">
        <v>336</v>
      </c>
    </row>
    <row r="109" customFormat="false" ht="15" hidden="false" customHeight="false" outlineLevel="0" collapsed="false">
      <c r="A109" s="10" t="n">
        <v>23.7641885280609</v>
      </c>
      <c r="B109" s="11" t="n">
        <v>220</v>
      </c>
      <c r="C109" s="12" t="n">
        <f aca="false">B109*'Correction factors'!$B$7</f>
        <v>1064.58</v>
      </c>
      <c r="D109" s="13" t="n">
        <v>6.097408</v>
      </c>
      <c r="E109" s="14" t="n">
        <v>48</v>
      </c>
      <c r="F109" s="10" t="n">
        <f aca="false">E109/'Correction factors'!$B$10</f>
        <v>3.8712</v>
      </c>
      <c r="G109" s="11" t="n">
        <v>336</v>
      </c>
    </row>
    <row r="110" customFormat="false" ht="15" hidden="false" customHeight="false" outlineLevel="0" collapsed="false">
      <c r="A110" s="10" t="n">
        <v>23.7641885280609</v>
      </c>
      <c r="B110" s="11" t="n">
        <v>200</v>
      </c>
      <c r="C110" s="12" t="n">
        <f aca="false">B110*'Correction factors'!$B$7</f>
        <v>967.8</v>
      </c>
      <c r="D110" s="13" t="n">
        <v>6.097408</v>
      </c>
      <c r="E110" s="14" t="n">
        <v>40</v>
      </c>
      <c r="F110" s="10" t="n">
        <f aca="false">E110/'Correction factors'!$B$10</f>
        <v>3.226</v>
      </c>
      <c r="G110" s="11" t="n">
        <v>335</v>
      </c>
    </row>
    <row r="111" customFormat="false" ht="15" hidden="false" customHeight="false" outlineLevel="0" collapsed="false">
      <c r="A111" s="10" t="n">
        <v>24.2241606712341</v>
      </c>
      <c r="B111" s="11" t="n">
        <v>200</v>
      </c>
      <c r="C111" s="12" t="n">
        <f aca="false">B111*'Correction factors'!$B$7</f>
        <v>967.8</v>
      </c>
      <c r="D111" s="13" t="n">
        <v>6.077765</v>
      </c>
      <c r="E111" s="14" t="n">
        <v>48</v>
      </c>
      <c r="F111" s="10" t="n">
        <f aca="false">E111/'Correction factors'!$B$10</f>
        <v>3.8712</v>
      </c>
      <c r="G111" s="11" t="n">
        <v>335</v>
      </c>
    </row>
    <row r="112" customFormat="false" ht="15" hidden="false" customHeight="false" outlineLevel="0" collapsed="false">
      <c r="A112" s="10" t="n">
        <v>24.2241606712341</v>
      </c>
      <c r="B112" s="11" t="n">
        <v>200</v>
      </c>
      <c r="C112" s="12" t="n">
        <f aca="false">B112*'Correction factors'!$B$7</f>
        <v>967.8</v>
      </c>
      <c r="D112" s="13" t="n">
        <v>6.067943</v>
      </c>
      <c r="E112" s="14" t="n">
        <v>40</v>
      </c>
      <c r="F112" s="10" t="n">
        <f aca="false">E112/'Correction factors'!$B$10</f>
        <v>3.226</v>
      </c>
      <c r="G112" s="11" t="n">
        <v>335</v>
      </c>
    </row>
    <row r="113" customFormat="false" ht="15" hidden="false" customHeight="false" outlineLevel="0" collapsed="false">
      <c r="A113" s="10" t="n">
        <v>24.2241606712341</v>
      </c>
      <c r="B113" s="11" t="n">
        <v>200</v>
      </c>
      <c r="C113" s="12" t="n">
        <f aca="false">B113*'Correction factors'!$B$7</f>
        <v>967.8</v>
      </c>
      <c r="D113" s="13" t="n">
        <v>6.0483</v>
      </c>
      <c r="E113" s="14" t="n">
        <v>48</v>
      </c>
      <c r="F113" s="10" t="n">
        <f aca="false">E113/'Correction factors'!$B$10</f>
        <v>3.8712</v>
      </c>
      <c r="G113" s="11" t="n">
        <v>335</v>
      </c>
    </row>
    <row r="114" customFormat="false" ht="15" hidden="false" customHeight="false" outlineLevel="0" collapsed="false">
      <c r="A114" s="10" t="n">
        <v>24.703145980835</v>
      </c>
      <c r="B114" s="11" t="n">
        <v>200</v>
      </c>
      <c r="C114" s="12" t="n">
        <f aca="false">B114*'Correction factors'!$B$7</f>
        <v>967.8</v>
      </c>
      <c r="D114" s="13" t="n">
        <v>6.028656</v>
      </c>
      <c r="E114" s="14" t="n">
        <v>40</v>
      </c>
      <c r="F114" s="10" t="n">
        <f aca="false">E114/'Correction factors'!$B$10</f>
        <v>3.226</v>
      </c>
      <c r="G114" s="11" t="n">
        <v>335</v>
      </c>
    </row>
    <row r="115" customFormat="false" ht="15" hidden="false" customHeight="false" outlineLevel="0" collapsed="false">
      <c r="A115" s="10" t="n">
        <v>24.703145980835</v>
      </c>
      <c r="B115" s="11" t="n">
        <v>200</v>
      </c>
      <c r="C115" s="12" t="n">
        <f aca="false">B115*'Correction factors'!$B$7</f>
        <v>967.8</v>
      </c>
      <c r="D115" s="13" t="n">
        <v>6.018835</v>
      </c>
      <c r="E115" s="14" t="n">
        <v>40</v>
      </c>
      <c r="F115" s="10" t="n">
        <f aca="false">E115/'Correction factors'!$B$10</f>
        <v>3.226</v>
      </c>
      <c r="G115" s="11" t="n">
        <v>335</v>
      </c>
    </row>
    <row r="116" customFormat="false" ht="15" hidden="false" customHeight="false" outlineLevel="0" collapsed="false">
      <c r="A116" s="10" t="n">
        <v>25.1283993721008</v>
      </c>
      <c r="B116" s="11" t="n">
        <v>200</v>
      </c>
      <c r="C116" s="12" t="n">
        <f aca="false">B116*'Correction factors'!$B$7</f>
        <v>967.8</v>
      </c>
      <c r="D116" s="13" t="n">
        <v>6.009014</v>
      </c>
      <c r="E116" s="14" t="n">
        <v>48</v>
      </c>
      <c r="F116" s="10" t="n">
        <f aca="false">E116/'Correction factors'!$B$10</f>
        <v>3.8712</v>
      </c>
      <c r="G116" s="11" t="n">
        <v>335</v>
      </c>
    </row>
    <row r="117" customFormat="false" ht="15" hidden="false" customHeight="false" outlineLevel="0" collapsed="false">
      <c r="A117" s="10" t="n">
        <v>25.1283993721008</v>
      </c>
      <c r="B117" s="11" t="n">
        <v>180</v>
      </c>
      <c r="C117" s="12" t="n">
        <f aca="false">B117*'Correction factors'!$B$7</f>
        <v>871.02</v>
      </c>
      <c r="D117" s="13" t="n">
        <v>5.98937</v>
      </c>
      <c r="E117" s="14" t="n">
        <v>40</v>
      </c>
      <c r="F117" s="10" t="n">
        <f aca="false">E117/'Correction factors'!$B$10</f>
        <v>3.226</v>
      </c>
      <c r="G117" s="11" t="n">
        <v>335</v>
      </c>
    </row>
    <row r="118" customFormat="false" ht="15" hidden="false" customHeight="false" outlineLevel="0" collapsed="false">
      <c r="A118" s="10" t="n">
        <v>25.5563986301422</v>
      </c>
      <c r="B118" s="11" t="n">
        <v>200</v>
      </c>
      <c r="C118" s="12" t="n">
        <f aca="false">B118*'Correction factors'!$B$7</f>
        <v>967.8</v>
      </c>
      <c r="D118" s="13" t="n">
        <v>5.969727</v>
      </c>
      <c r="E118" s="14" t="n">
        <v>48</v>
      </c>
      <c r="F118" s="10" t="n">
        <f aca="false">E118/'Correction factors'!$B$10</f>
        <v>3.8712</v>
      </c>
      <c r="G118" s="11" t="n">
        <v>340</v>
      </c>
    </row>
    <row r="119" customFormat="false" ht="15" hidden="false" customHeight="false" outlineLevel="0" collapsed="false">
      <c r="A119" s="10" t="n">
        <v>25.5563986301422</v>
      </c>
      <c r="B119" s="11" t="n">
        <v>180</v>
      </c>
      <c r="C119" s="12" t="n">
        <f aca="false">B119*'Correction factors'!$B$7</f>
        <v>871.02</v>
      </c>
      <c r="D119" s="13" t="n">
        <v>5.959905</v>
      </c>
      <c r="E119" s="14" t="n">
        <v>40</v>
      </c>
      <c r="F119" s="10" t="n">
        <f aca="false">E119/'Correction factors'!$B$10</f>
        <v>3.226</v>
      </c>
      <c r="G119" s="11" t="n">
        <v>339</v>
      </c>
    </row>
    <row r="120" customFormat="false" ht="15" hidden="false" customHeight="false" outlineLevel="0" collapsed="false">
      <c r="A120" s="10" t="n">
        <v>25.9933981895447</v>
      </c>
      <c r="B120" s="11" t="n">
        <v>180</v>
      </c>
      <c r="C120" s="12" t="n">
        <f aca="false">B120*'Correction factors'!$B$7</f>
        <v>871.02</v>
      </c>
      <c r="D120" s="13" t="n">
        <v>5.930441</v>
      </c>
      <c r="E120" s="14" t="n">
        <v>40</v>
      </c>
      <c r="F120" s="10" t="n">
        <f aca="false">E120/'Correction factors'!$B$10</f>
        <v>3.226</v>
      </c>
      <c r="G120" s="11" t="n">
        <v>339</v>
      </c>
    </row>
    <row r="121" customFormat="false" ht="15" hidden="false" customHeight="false" outlineLevel="0" collapsed="false">
      <c r="A121" s="10" t="n">
        <v>25.9933981895447</v>
      </c>
      <c r="B121" s="11" t="n">
        <v>180</v>
      </c>
      <c r="C121" s="12" t="n">
        <f aca="false">B121*'Correction factors'!$B$7</f>
        <v>871.02</v>
      </c>
      <c r="D121" s="13" t="n">
        <v>5.92062</v>
      </c>
      <c r="E121" s="14" t="n">
        <v>48</v>
      </c>
      <c r="F121" s="10" t="n">
        <f aca="false">E121/'Correction factors'!$B$10</f>
        <v>3.8712</v>
      </c>
      <c r="G121" s="11" t="n">
        <v>339</v>
      </c>
    </row>
    <row r="122" customFormat="false" ht="15" hidden="false" customHeight="false" outlineLevel="0" collapsed="false">
      <c r="A122" s="10" t="n">
        <v>26.419397354126</v>
      </c>
      <c r="B122" s="11" t="n">
        <v>200</v>
      </c>
      <c r="C122" s="12" t="n">
        <f aca="false">B122*'Correction factors'!$B$7</f>
        <v>967.8</v>
      </c>
      <c r="D122" s="13" t="n">
        <v>5.910797</v>
      </c>
      <c r="E122" s="14" t="n">
        <v>40</v>
      </c>
      <c r="F122" s="10" t="n">
        <f aca="false">E122/'Correction factors'!$B$10</f>
        <v>3.226</v>
      </c>
      <c r="G122" s="11" t="n">
        <v>340</v>
      </c>
    </row>
    <row r="123" customFormat="false" ht="15" hidden="false" customHeight="false" outlineLevel="0" collapsed="false">
      <c r="A123" s="10" t="n">
        <v>26.419397354126</v>
      </c>
      <c r="B123" s="11" t="n">
        <v>200</v>
      </c>
      <c r="C123" s="12" t="n">
        <f aca="false">B123*'Correction factors'!$B$7</f>
        <v>967.8</v>
      </c>
      <c r="D123" s="13" t="n">
        <v>5.900976</v>
      </c>
      <c r="E123" s="14" t="n">
        <v>40</v>
      </c>
      <c r="F123" s="10" t="n">
        <f aca="false">E123/'Correction factors'!$B$10</f>
        <v>3.226</v>
      </c>
      <c r="G123" s="11" t="n">
        <v>340</v>
      </c>
    </row>
    <row r="124" customFormat="false" ht="15" hidden="false" customHeight="false" outlineLevel="0" collapsed="false">
      <c r="A124" s="10" t="n">
        <v>26.8603975772858</v>
      </c>
      <c r="B124" s="11" t="n">
        <v>200</v>
      </c>
      <c r="C124" s="12" t="n">
        <f aca="false">B124*'Correction factors'!$B$7</f>
        <v>967.8</v>
      </c>
      <c r="D124" s="13" t="n">
        <v>5.871511</v>
      </c>
      <c r="E124" s="14" t="n">
        <v>48</v>
      </c>
      <c r="F124" s="10" t="n">
        <f aca="false">E124/'Correction factors'!$B$10</f>
        <v>3.8712</v>
      </c>
      <c r="G124" s="11" t="n">
        <v>339</v>
      </c>
    </row>
    <row r="125" customFormat="false" ht="15" hidden="false" customHeight="false" outlineLevel="0" collapsed="false">
      <c r="A125" s="10" t="n">
        <v>26.8603975772858</v>
      </c>
      <c r="B125" s="11" t="n">
        <v>180</v>
      </c>
      <c r="C125" s="12" t="n">
        <f aca="false">B125*'Correction factors'!$B$7</f>
        <v>871.02</v>
      </c>
      <c r="D125" s="13" t="n">
        <v>5.851868</v>
      </c>
      <c r="E125" s="14" t="n">
        <v>40</v>
      </c>
      <c r="F125" s="10" t="n">
        <f aca="false">E125/'Correction factors'!$B$10</f>
        <v>3.226</v>
      </c>
      <c r="G125" s="11" t="n">
        <v>339</v>
      </c>
    </row>
    <row r="126" customFormat="false" ht="15" hidden="false" customHeight="false" outlineLevel="0" collapsed="false">
      <c r="A126" s="10" t="n">
        <v>27.3043913841248</v>
      </c>
      <c r="B126" s="11" t="n">
        <v>180</v>
      </c>
      <c r="C126" s="12" t="n">
        <f aca="false">B126*'Correction factors'!$B$7</f>
        <v>871.02</v>
      </c>
      <c r="D126" s="13" t="n">
        <v>5.851868</v>
      </c>
      <c r="E126" s="14" t="n">
        <v>40</v>
      </c>
      <c r="F126" s="10" t="n">
        <f aca="false">E126/'Correction factors'!$B$10</f>
        <v>3.226</v>
      </c>
      <c r="G126" s="11" t="n">
        <v>342</v>
      </c>
    </row>
    <row r="127" customFormat="false" ht="15" hidden="false" customHeight="false" outlineLevel="0" collapsed="false">
      <c r="A127" s="10" t="n">
        <v>27.3043913841248</v>
      </c>
      <c r="B127" s="11" t="n">
        <v>180</v>
      </c>
      <c r="C127" s="12" t="n">
        <f aca="false">B127*'Correction factors'!$B$7</f>
        <v>871.02</v>
      </c>
      <c r="D127" s="13" t="n">
        <v>5.832225</v>
      </c>
      <c r="E127" s="14" t="n">
        <v>48</v>
      </c>
      <c r="F127" s="10" t="n">
        <f aca="false">E127/'Correction factors'!$B$10</f>
        <v>3.8712</v>
      </c>
      <c r="G127" s="11" t="n">
        <v>342</v>
      </c>
    </row>
    <row r="128" customFormat="false" ht="15" hidden="false" customHeight="false" outlineLevel="0" collapsed="false">
      <c r="A128" s="10" t="n">
        <v>27.7273037433624</v>
      </c>
      <c r="B128" s="11" t="n">
        <v>180</v>
      </c>
      <c r="C128" s="12" t="n">
        <f aca="false">B128*'Correction factors'!$B$7</f>
        <v>871.02</v>
      </c>
      <c r="D128" s="13" t="n">
        <v>5.812582</v>
      </c>
      <c r="E128" s="14" t="n">
        <v>40</v>
      </c>
      <c r="F128" s="10" t="n">
        <f aca="false">E128/'Correction factors'!$B$10</f>
        <v>3.226</v>
      </c>
      <c r="G128" s="11" t="n">
        <v>342</v>
      </c>
    </row>
    <row r="129" customFormat="false" ht="15" hidden="false" customHeight="false" outlineLevel="0" collapsed="false">
      <c r="A129" s="10" t="n">
        <v>27.7273037433624</v>
      </c>
      <c r="B129" s="11" t="n">
        <v>180</v>
      </c>
      <c r="C129" s="12" t="n">
        <f aca="false">B129*'Correction factors'!$B$7</f>
        <v>871.02</v>
      </c>
      <c r="D129" s="13" t="n">
        <v>5.80276</v>
      </c>
      <c r="E129" s="14" t="n">
        <v>40</v>
      </c>
      <c r="F129" s="10" t="n">
        <f aca="false">E129/'Correction factors'!$B$10</f>
        <v>3.226</v>
      </c>
      <c r="G129" s="11" t="n">
        <v>343</v>
      </c>
    </row>
    <row r="130" customFormat="false" ht="15" hidden="false" customHeight="false" outlineLevel="0" collapsed="false">
      <c r="A130" s="10" t="n">
        <v>27.7273037433624</v>
      </c>
      <c r="B130" s="11" t="n">
        <v>180</v>
      </c>
      <c r="C130" s="12" t="n">
        <f aca="false">B130*'Correction factors'!$B$7</f>
        <v>871.02</v>
      </c>
      <c r="D130" s="13" t="n">
        <v>5.773295</v>
      </c>
      <c r="E130" s="14" t="n">
        <v>48</v>
      </c>
      <c r="F130" s="10" t="n">
        <f aca="false">E130/'Correction factors'!$B$10</f>
        <v>3.8712</v>
      </c>
      <c r="G130" s="11" t="n">
        <v>344</v>
      </c>
    </row>
    <row r="131" customFormat="false" ht="15" hidden="false" customHeight="false" outlineLevel="0" collapsed="false">
      <c r="A131" s="10" t="n">
        <v>28.2319326400757</v>
      </c>
      <c r="B131" s="11" t="n">
        <v>180</v>
      </c>
      <c r="C131" s="12" t="n">
        <f aca="false">B131*'Correction factors'!$B$7</f>
        <v>871.02</v>
      </c>
      <c r="D131" s="13" t="n">
        <v>5.763474</v>
      </c>
      <c r="E131" s="14" t="n">
        <v>40</v>
      </c>
      <c r="F131" s="10" t="n">
        <f aca="false">E131/'Correction factors'!$B$10</f>
        <v>3.226</v>
      </c>
      <c r="G131" s="11" t="n">
        <v>344</v>
      </c>
    </row>
    <row r="132" customFormat="false" ht="15" hidden="false" customHeight="false" outlineLevel="0" collapsed="false">
      <c r="A132" s="10" t="n">
        <v>28.2319326400757</v>
      </c>
      <c r="B132" s="11" t="n">
        <v>160</v>
      </c>
      <c r="C132" s="12" t="n">
        <f aca="false">B132*'Correction factors'!$B$7</f>
        <v>774.24</v>
      </c>
      <c r="D132" s="13" t="n">
        <v>5.74383</v>
      </c>
      <c r="E132" s="14" t="n">
        <v>40</v>
      </c>
      <c r="F132" s="10" t="n">
        <f aca="false">E132/'Correction factors'!$B$10</f>
        <v>3.226</v>
      </c>
      <c r="G132" s="11" t="n">
        <v>344</v>
      </c>
    </row>
    <row r="133" customFormat="false" ht="15" hidden="false" customHeight="false" outlineLevel="0" collapsed="false">
      <c r="A133" s="10" t="n">
        <v>28.7195599079132</v>
      </c>
      <c r="B133" s="11" t="n">
        <v>160</v>
      </c>
      <c r="C133" s="12" t="n">
        <f aca="false">B133*'Correction factors'!$B$7</f>
        <v>774.24</v>
      </c>
      <c r="D133" s="13" t="n">
        <v>5.74383</v>
      </c>
      <c r="E133" s="14" t="n">
        <v>40</v>
      </c>
      <c r="F133" s="10" t="n">
        <f aca="false">E133/'Correction factors'!$B$10</f>
        <v>3.226</v>
      </c>
      <c r="G133" s="11" t="n">
        <v>350</v>
      </c>
    </row>
    <row r="134" customFormat="false" ht="15" hidden="false" customHeight="false" outlineLevel="0" collapsed="false">
      <c r="A134" s="10" t="n">
        <v>28.7195599079132</v>
      </c>
      <c r="B134" s="11" t="n">
        <v>180</v>
      </c>
      <c r="C134" s="12" t="n">
        <f aca="false">B134*'Correction factors'!$B$7</f>
        <v>871.02</v>
      </c>
      <c r="D134" s="13" t="n">
        <v>5.714366</v>
      </c>
      <c r="E134" s="14" t="n">
        <v>48</v>
      </c>
      <c r="F134" s="10" t="n">
        <f aca="false">E134/'Correction factors'!$B$10</f>
        <v>3.8712</v>
      </c>
      <c r="G134" s="11" t="n">
        <v>350</v>
      </c>
    </row>
    <row r="135" customFormat="false" ht="15" hidden="false" customHeight="false" outlineLevel="0" collapsed="false">
      <c r="A135" s="10" t="n">
        <v>29.166522026062</v>
      </c>
      <c r="B135" s="11" t="n">
        <v>180</v>
      </c>
      <c r="C135" s="12" t="n">
        <f aca="false">B135*'Correction factors'!$B$7</f>
        <v>871.02</v>
      </c>
      <c r="D135" s="13" t="n">
        <v>5.694722</v>
      </c>
      <c r="E135" s="14" t="n">
        <v>40</v>
      </c>
      <c r="F135" s="10" t="n">
        <f aca="false">E135/'Correction factors'!$B$10</f>
        <v>3.226</v>
      </c>
      <c r="G135" s="11" t="n">
        <v>350</v>
      </c>
    </row>
    <row r="136" customFormat="false" ht="15" hidden="false" customHeight="false" outlineLevel="0" collapsed="false">
      <c r="A136" s="10" t="n">
        <v>29.166522026062</v>
      </c>
      <c r="B136" s="11" t="n">
        <v>180</v>
      </c>
      <c r="C136" s="12" t="n">
        <f aca="false">B136*'Correction factors'!$B$7</f>
        <v>871.02</v>
      </c>
      <c r="D136" s="13" t="n">
        <v>5.694722</v>
      </c>
      <c r="E136" s="14" t="n">
        <v>40</v>
      </c>
      <c r="F136" s="10" t="n">
        <f aca="false">E136/'Correction factors'!$B$10</f>
        <v>3.226</v>
      </c>
      <c r="G136" s="11" t="n">
        <v>350</v>
      </c>
    </row>
    <row r="137" customFormat="false" ht="15" hidden="false" customHeight="false" outlineLevel="0" collapsed="false">
      <c r="A137" s="10" t="n">
        <v>29.166522026062</v>
      </c>
      <c r="B137" s="11" t="n">
        <v>180</v>
      </c>
      <c r="C137" s="12" t="n">
        <f aca="false">B137*'Correction factors'!$B$7</f>
        <v>871.02</v>
      </c>
      <c r="D137" s="13" t="n">
        <v>5.665258</v>
      </c>
      <c r="E137" s="14" t="n">
        <v>48</v>
      </c>
      <c r="F137" s="10" t="n">
        <f aca="false">E137/'Correction factors'!$B$10</f>
        <v>3.8712</v>
      </c>
      <c r="G137" s="11" t="n">
        <v>350</v>
      </c>
    </row>
    <row r="138" customFormat="false" ht="15" hidden="false" customHeight="false" outlineLevel="0" collapsed="false">
      <c r="A138" s="10" t="n">
        <v>29.661600112915</v>
      </c>
      <c r="B138" s="11" t="n">
        <v>180</v>
      </c>
      <c r="C138" s="12" t="n">
        <f aca="false">B138*'Correction factors'!$B$7</f>
        <v>871.02</v>
      </c>
      <c r="D138" s="13" t="n">
        <v>5.665258</v>
      </c>
      <c r="E138" s="14" t="n">
        <v>40</v>
      </c>
      <c r="F138" s="10" t="n">
        <f aca="false">E138/'Correction factors'!$B$10</f>
        <v>3.226</v>
      </c>
      <c r="G138" s="11" t="n">
        <v>350</v>
      </c>
    </row>
    <row r="139" customFormat="false" ht="15" hidden="false" customHeight="false" outlineLevel="0" collapsed="false">
      <c r="A139" s="10" t="n">
        <v>29.661600112915</v>
      </c>
      <c r="B139" s="11" t="n">
        <v>180</v>
      </c>
      <c r="C139" s="12" t="n">
        <f aca="false">B139*'Correction factors'!$B$7</f>
        <v>871.02</v>
      </c>
      <c r="D139" s="13" t="n">
        <v>5.645614</v>
      </c>
      <c r="E139" s="14" t="n">
        <v>40</v>
      </c>
      <c r="F139" s="10" t="n">
        <f aca="false">E139/'Correction factors'!$B$10</f>
        <v>3.226</v>
      </c>
      <c r="G139" s="11" t="n">
        <v>350</v>
      </c>
    </row>
    <row r="140" customFormat="false" ht="15" hidden="false" customHeight="false" outlineLevel="0" collapsed="false">
      <c r="A140" s="10" t="n">
        <v>30.099440574646</v>
      </c>
      <c r="B140" s="11" t="n">
        <v>180</v>
      </c>
      <c r="C140" s="12" t="n">
        <f aca="false">B140*'Correction factors'!$B$7</f>
        <v>871.02</v>
      </c>
      <c r="D140" s="13" t="n">
        <v>5.635793</v>
      </c>
      <c r="E140" s="14" t="n">
        <v>40</v>
      </c>
      <c r="F140" s="10" t="n">
        <f aca="false">E140/'Correction factors'!$B$10</f>
        <v>3.226</v>
      </c>
      <c r="G140" s="11" t="n">
        <v>351</v>
      </c>
    </row>
    <row r="141" customFormat="false" ht="15" hidden="false" customHeight="false" outlineLevel="0" collapsed="false">
      <c r="A141" s="10" t="n">
        <v>30.099440574646</v>
      </c>
      <c r="B141" s="11" t="n">
        <v>160</v>
      </c>
      <c r="C141" s="12" t="n">
        <f aca="false">B141*'Correction factors'!$B$7</f>
        <v>774.24</v>
      </c>
      <c r="D141" s="13" t="n">
        <v>5.606328</v>
      </c>
      <c r="E141" s="14" t="n">
        <v>48</v>
      </c>
      <c r="F141" s="10" t="n">
        <f aca="false">E141/'Correction factors'!$B$10</f>
        <v>3.8712</v>
      </c>
      <c r="G141" s="11" t="n">
        <v>351</v>
      </c>
    </row>
    <row r="142" customFormat="false" ht="15" hidden="false" customHeight="false" outlineLevel="0" collapsed="false">
      <c r="A142" s="10" t="n">
        <v>30.5509788990021</v>
      </c>
      <c r="B142" s="11" t="n">
        <v>180</v>
      </c>
      <c r="C142" s="12" t="n">
        <f aca="false">B142*'Correction factors'!$B$7</f>
        <v>871.02</v>
      </c>
      <c r="D142" s="13" t="n">
        <v>5.606328</v>
      </c>
      <c r="E142" s="14" t="n">
        <v>40</v>
      </c>
      <c r="F142" s="10" t="n">
        <f aca="false">E142/'Correction factors'!$B$10</f>
        <v>3.226</v>
      </c>
      <c r="G142" s="11" t="n">
        <v>356</v>
      </c>
    </row>
    <row r="143" customFormat="false" ht="15" hidden="false" customHeight="false" outlineLevel="0" collapsed="false">
      <c r="A143" s="10" t="n">
        <v>30.5509788990021</v>
      </c>
      <c r="B143" s="11" t="n">
        <v>180</v>
      </c>
      <c r="C143" s="12" t="n">
        <f aca="false">B143*'Correction factors'!$B$7</f>
        <v>871.02</v>
      </c>
      <c r="D143" s="13" t="n">
        <v>5.586685</v>
      </c>
      <c r="E143" s="14" t="n">
        <v>40</v>
      </c>
      <c r="F143" s="10" t="n">
        <f aca="false">E143/'Correction factors'!$B$10</f>
        <v>3.226</v>
      </c>
      <c r="G143" s="11" t="n">
        <v>355</v>
      </c>
    </row>
    <row r="144" customFormat="false" ht="15" hidden="false" customHeight="false" outlineLevel="0" collapsed="false">
      <c r="A144" s="10" t="n">
        <v>30.992461681366</v>
      </c>
      <c r="B144" s="11" t="n">
        <v>200</v>
      </c>
      <c r="C144" s="12" t="n">
        <f aca="false">B144*'Correction factors'!$B$7</f>
        <v>967.8</v>
      </c>
      <c r="D144" s="13" t="n">
        <v>5.567041</v>
      </c>
      <c r="E144" s="14" t="n">
        <v>48</v>
      </c>
      <c r="F144" s="10" t="n">
        <f aca="false">E144/'Correction factors'!$B$10</f>
        <v>3.8712</v>
      </c>
      <c r="G144" s="11" t="n">
        <v>355</v>
      </c>
    </row>
    <row r="145" customFormat="false" ht="15" hidden="false" customHeight="false" outlineLevel="0" collapsed="false">
      <c r="A145" s="10" t="n">
        <v>30.992461681366</v>
      </c>
      <c r="B145" s="11" t="n">
        <v>180</v>
      </c>
      <c r="C145" s="12" t="n">
        <f aca="false">B145*'Correction factors'!$B$7</f>
        <v>871.02</v>
      </c>
      <c r="D145" s="13" t="n">
        <v>5.567041</v>
      </c>
      <c r="E145" s="14" t="n">
        <v>48</v>
      </c>
      <c r="F145" s="10" t="n">
        <f aca="false">E145/'Correction factors'!$B$10</f>
        <v>3.8712</v>
      </c>
      <c r="G145" s="11" t="n">
        <v>354</v>
      </c>
    </row>
    <row r="146" customFormat="false" ht="15" hidden="false" customHeight="false" outlineLevel="0" collapsed="false">
      <c r="A146" s="10" t="n">
        <v>31.4375145435333</v>
      </c>
      <c r="B146" s="11" t="n">
        <v>180</v>
      </c>
      <c r="C146" s="12" t="n">
        <f aca="false">B146*'Correction factors'!$B$7</f>
        <v>871.02</v>
      </c>
      <c r="D146" s="13" t="n">
        <v>5.547399</v>
      </c>
      <c r="E146" s="14" t="n">
        <v>40</v>
      </c>
      <c r="F146" s="10" t="n">
        <f aca="false">E146/'Correction factors'!$B$10</f>
        <v>3.226</v>
      </c>
      <c r="G146" s="11" t="n">
        <v>355</v>
      </c>
    </row>
    <row r="147" customFormat="false" ht="15" hidden="false" customHeight="false" outlineLevel="0" collapsed="false">
      <c r="A147" s="10" t="n">
        <v>31.4375145435333</v>
      </c>
      <c r="B147" s="11" t="n">
        <v>160</v>
      </c>
      <c r="C147" s="12" t="n">
        <f aca="false">B147*'Correction factors'!$B$7</f>
        <v>774.24</v>
      </c>
      <c r="D147" s="13" t="n">
        <v>5.547399</v>
      </c>
      <c r="E147" s="14" t="n">
        <v>40</v>
      </c>
      <c r="F147" s="10" t="n">
        <f aca="false">E147/'Correction factors'!$B$10</f>
        <v>3.226</v>
      </c>
      <c r="G147" s="11" t="n">
        <v>355</v>
      </c>
    </row>
    <row r="148" customFormat="false" ht="15" hidden="false" customHeight="false" outlineLevel="0" collapsed="false">
      <c r="A148" s="10" t="n">
        <v>31.8846182823181</v>
      </c>
      <c r="B148" s="11" t="n">
        <v>160</v>
      </c>
      <c r="C148" s="12" t="n">
        <f aca="false">B148*'Correction factors'!$B$7</f>
        <v>774.24</v>
      </c>
      <c r="D148" s="13" t="n">
        <v>5.527756</v>
      </c>
      <c r="E148" s="14" t="n">
        <v>48</v>
      </c>
      <c r="F148" s="10" t="n">
        <f aca="false">E148/'Correction factors'!$B$10</f>
        <v>3.8712</v>
      </c>
      <c r="G148" s="11" t="n">
        <v>359</v>
      </c>
    </row>
    <row r="149" customFormat="false" ht="15" hidden="false" customHeight="false" outlineLevel="0" collapsed="false">
      <c r="A149" s="10" t="n">
        <v>31.8846182823181</v>
      </c>
      <c r="B149" s="11" t="n">
        <v>200</v>
      </c>
      <c r="C149" s="12" t="n">
        <f aca="false">B149*'Correction factors'!$B$7</f>
        <v>967.8</v>
      </c>
      <c r="D149" s="13" t="n">
        <v>5.517933</v>
      </c>
      <c r="E149" s="14" t="n">
        <v>48</v>
      </c>
      <c r="F149" s="10" t="n">
        <f aca="false">E149/'Correction factors'!$B$10</f>
        <v>3.8712</v>
      </c>
      <c r="G149" s="11" t="n">
        <v>359</v>
      </c>
    </row>
    <row r="150" customFormat="false" ht="15" hidden="false" customHeight="false" outlineLevel="0" collapsed="false">
      <c r="A150" s="10" t="n">
        <v>31.8846182823181</v>
      </c>
      <c r="B150" s="11" t="n">
        <v>200</v>
      </c>
      <c r="C150" s="12" t="n">
        <f aca="false">B150*'Correction factors'!$B$7</f>
        <v>967.8</v>
      </c>
      <c r="D150" s="13" t="n">
        <v>5.508112</v>
      </c>
      <c r="E150" s="14" t="n">
        <v>48</v>
      </c>
      <c r="F150" s="10" t="n">
        <f aca="false">E150/'Correction factors'!$B$10</f>
        <v>3.8712</v>
      </c>
      <c r="G150" s="11" t="n">
        <v>357</v>
      </c>
    </row>
    <row r="151" customFormat="false" ht="15" hidden="false" customHeight="false" outlineLevel="0" collapsed="false">
      <c r="A151" s="10" t="n">
        <v>32.3660411834717</v>
      </c>
      <c r="B151" s="11" t="n">
        <v>200</v>
      </c>
      <c r="C151" s="12" t="n">
        <f aca="false">B151*'Correction factors'!$B$7</f>
        <v>967.8</v>
      </c>
      <c r="D151" s="13" t="n">
        <v>5.488469</v>
      </c>
      <c r="E151" s="14" t="n">
        <v>48</v>
      </c>
      <c r="F151" s="10" t="n">
        <f aca="false">E151/'Correction factors'!$B$10</f>
        <v>3.8712</v>
      </c>
      <c r="G151" s="11" t="n">
        <v>356</v>
      </c>
    </row>
    <row r="152" customFormat="false" ht="15" hidden="false" customHeight="false" outlineLevel="0" collapsed="false">
      <c r="A152" s="10" t="n">
        <v>32.3660411834717</v>
      </c>
      <c r="B152" s="11" t="n">
        <v>180</v>
      </c>
      <c r="C152" s="12" t="n">
        <f aca="false">B152*'Correction factors'!$B$7</f>
        <v>871.02</v>
      </c>
      <c r="D152" s="13" t="n">
        <v>5.488469</v>
      </c>
      <c r="E152" s="14" t="n">
        <v>48</v>
      </c>
      <c r="F152" s="10" t="n">
        <f aca="false">E152/'Correction factors'!$B$10</f>
        <v>3.8712</v>
      </c>
      <c r="G152" s="11" t="n">
        <v>357</v>
      </c>
    </row>
    <row r="153" customFormat="false" ht="15" hidden="false" customHeight="false" outlineLevel="0" collapsed="false">
      <c r="A153" s="10" t="n">
        <v>32.8099071979523</v>
      </c>
      <c r="B153" s="11" t="n">
        <v>180</v>
      </c>
      <c r="C153" s="12" t="n">
        <f aca="false">B153*'Correction factors'!$B$7</f>
        <v>871.02</v>
      </c>
      <c r="D153" s="13" t="n">
        <v>5.468826</v>
      </c>
      <c r="E153" s="14" t="n">
        <v>48</v>
      </c>
      <c r="F153" s="10" t="n">
        <f aca="false">E153/'Correction factors'!$B$10</f>
        <v>3.8712</v>
      </c>
      <c r="G153" s="11" t="n">
        <v>359</v>
      </c>
    </row>
    <row r="154" customFormat="false" ht="15" hidden="false" customHeight="false" outlineLevel="0" collapsed="false">
      <c r="A154" s="10" t="n">
        <v>32.8099071979523</v>
      </c>
      <c r="B154" s="11" t="n">
        <v>200</v>
      </c>
      <c r="C154" s="12" t="n">
        <f aca="false">B154*'Correction factors'!$B$7</f>
        <v>967.8</v>
      </c>
      <c r="D154" s="13" t="n">
        <v>5.468826</v>
      </c>
      <c r="E154" s="14" t="n">
        <v>48</v>
      </c>
      <c r="F154" s="10" t="n">
        <f aca="false">E154/'Correction factors'!$B$10</f>
        <v>3.8712</v>
      </c>
      <c r="G154" s="11" t="n">
        <v>358</v>
      </c>
    </row>
    <row r="155" customFormat="false" ht="15" hidden="false" customHeight="false" outlineLevel="0" collapsed="false">
      <c r="A155" s="10" t="n">
        <v>33.2840535640717</v>
      </c>
      <c r="B155" s="11" t="n">
        <v>180</v>
      </c>
      <c r="C155" s="12" t="n">
        <f aca="false">B155*'Correction factors'!$B$7</f>
        <v>871.02</v>
      </c>
      <c r="D155" s="13" t="n">
        <v>5.459004</v>
      </c>
      <c r="E155" s="14" t="n">
        <v>48</v>
      </c>
      <c r="F155" s="10" t="n">
        <f aca="false">E155/'Correction factors'!$B$10</f>
        <v>3.8712</v>
      </c>
      <c r="G155" s="11" t="n">
        <v>358</v>
      </c>
    </row>
    <row r="156" customFormat="false" ht="15" hidden="false" customHeight="false" outlineLevel="0" collapsed="false">
      <c r="A156" s="10" t="n">
        <v>33.2840535640717</v>
      </c>
      <c r="B156" s="11" t="n">
        <v>200</v>
      </c>
      <c r="C156" s="12" t="n">
        <f aca="false">B156*'Correction factors'!$B$7</f>
        <v>967.8</v>
      </c>
      <c r="D156" s="13" t="n">
        <v>5.449183</v>
      </c>
      <c r="E156" s="14" t="n">
        <v>48</v>
      </c>
      <c r="F156" s="10" t="n">
        <f aca="false">E156/'Correction factors'!$B$10</f>
        <v>3.8712</v>
      </c>
      <c r="G156" s="11" t="n">
        <v>358</v>
      </c>
    </row>
    <row r="157" customFormat="false" ht="15" hidden="false" customHeight="false" outlineLevel="0" collapsed="false">
      <c r="A157" s="10" t="n">
        <v>33.7200138568878</v>
      </c>
      <c r="B157" s="11" t="n">
        <v>200</v>
      </c>
      <c r="C157" s="12" t="n">
        <f aca="false">B157*'Correction factors'!$B$7</f>
        <v>967.8</v>
      </c>
      <c r="D157" s="13" t="n">
        <v>5.429539</v>
      </c>
      <c r="E157" s="14" t="n">
        <v>48</v>
      </c>
      <c r="F157" s="10" t="n">
        <f aca="false">E157/'Correction factors'!$B$10</f>
        <v>3.8712</v>
      </c>
      <c r="G157" s="11" t="n">
        <v>358</v>
      </c>
    </row>
    <row r="158" customFormat="false" ht="15" hidden="false" customHeight="false" outlineLevel="0" collapsed="false">
      <c r="A158" s="10" t="n">
        <v>33.7200138568878</v>
      </c>
      <c r="B158" s="11" t="n">
        <v>200</v>
      </c>
      <c r="C158" s="12" t="n">
        <f aca="false">B158*'Correction factors'!$B$7</f>
        <v>967.8</v>
      </c>
      <c r="D158" s="13" t="n">
        <v>5.439361</v>
      </c>
      <c r="E158" s="14" t="n">
        <v>48</v>
      </c>
      <c r="F158" s="10" t="n">
        <f aca="false">E158/'Correction factors'!$B$10</f>
        <v>3.8712</v>
      </c>
      <c r="G158" s="11" t="n">
        <v>358</v>
      </c>
    </row>
    <row r="159" customFormat="false" ht="15" hidden="false" customHeight="false" outlineLevel="0" collapsed="false">
      <c r="A159" s="10" t="n">
        <v>34.1559507846832</v>
      </c>
      <c r="B159" s="11" t="n">
        <v>200</v>
      </c>
      <c r="C159" s="12" t="n">
        <f aca="false">B159*'Correction factors'!$B$7</f>
        <v>967.8</v>
      </c>
      <c r="D159" s="13" t="n">
        <v>5.429539</v>
      </c>
      <c r="E159" s="14" t="n">
        <v>48</v>
      </c>
      <c r="F159" s="10" t="n">
        <f aca="false">E159/'Correction factors'!$B$10</f>
        <v>3.8712</v>
      </c>
      <c r="G159" s="11" t="n">
        <v>358</v>
      </c>
    </row>
    <row r="160" customFormat="false" ht="15" hidden="false" customHeight="false" outlineLevel="0" collapsed="false">
      <c r="A160" s="10" t="n">
        <v>34.1559507846832</v>
      </c>
      <c r="B160" s="11" t="n">
        <v>180</v>
      </c>
      <c r="C160" s="12" t="n">
        <f aca="false">B160*'Correction factors'!$B$7</f>
        <v>871.02</v>
      </c>
      <c r="D160" s="13" t="n">
        <v>5.429539</v>
      </c>
      <c r="E160" s="14" t="n">
        <v>48</v>
      </c>
      <c r="F160" s="10" t="n">
        <f aca="false">E160/'Correction factors'!$B$10</f>
        <v>3.8712</v>
      </c>
      <c r="G160" s="11" t="n">
        <v>359</v>
      </c>
    </row>
    <row r="161" customFormat="false" ht="15" hidden="false" customHeight="false" outlineLevel="0" collapsed="false">
      <c r="A161" s="10" t="n">
        <v>34.1559507846832</v>
      </c>
      <c r="B161" s="11" t="n">
        <v>180</v>
      </c>
      <c r="C161" s="12" t="n">
        <f aca="false">B161*'Correction factors'!$B$7</f>
        <v>871.02</v>
      </c>
      <c r="D161" s="13" t="n">
        <v>5.419718</v>
      </c>
      <c r="E161" s="14" t="n">
        <v>48</v>
      </c>
      <c r="F161" s="10" t="n">
        <f aca="false">E161/'Correction factors'!$B$10</f>
        <v>3.8712</v>
      </c>
      <c r="G161" s="11" t="n">
        <v>359</v>
      </c>
    </row>
    <row r="162" customFormat="false" ht="15" hidden="false" customHeight="false" outlineLevel="0" collapsed="false">
      <c r="A162" s="10" t="n">
        <v>34.6331646442413</v>
      </c>
      <c r="B162" s="11" t="n">
        <v>200</v>
      </c>
      <c r="C162" s="12" t="n">
        <f aca="false">B162*'Correction factors'!$B$7</f>
        <v>967.8</v>
      </c>
      <c r="D162" s="13" t="n">
        <v>5.409896</v>
      </c>
      <c r="E162" s="14" t="n">
        <v>48</v>
      </c>
      <c r="F162" s="10" t="n">
        <f aca="false">E162/'Correction factors'!$B$10</f>
        <v>3.8712</v>
      </c>
      <c r="G162" s="11" t="n">
        <v>358</v>
      </c>
    </row>
    <row r="163" customFormat="false" ht="15" hidden="false" customHeight="false" outlineLevel="0" collapsed="false">
      <c r="A163" s="10" t="n">
        <v>34.6331646442413</v>
      </c>
      <c r="B163" s="11" t="n">
        <v>200</v>
      </c>
      <c r="C163" s="12" t="n">
        <f aca="false">B163*'Correction factors'!$B$7</f>
        <v>967.8</v>
      </c>
      <c r="D163" s="13" t="n">
        <v>5.409896</v>
      </c>
      <c r="E163" s="14" t="n">
        <v>48</v>
      </c>
      <c r="F163" s="10" t="n">
        <f aca="false">E163/'Correction factors'!$B$10</f>
        <v>3.8712</v>
      </c>
      <c r="G163" s="11" t="n">
        <v>358</v>
      </c>
    </row>
    <row r="164" customFormat="false" ht="15" hidden="false" customHeight="false" outlineLevel="0" collapsed="false">
      <c r="A164" s="10" t="n">
        <v>35.0660648345947</v>
      </c>
      <c r="B164" s="11" t="n">
        <v>180</v>
      </c>
      <c r="C164" s="12" t="n">
        <f aca="false">B164*'Correction factors'!$B$7</f>
        <v>871.02</v>
      </c>
      <c r="D164" s="13" t="n">
        <v>5.409896</v>
      </c>
      <c r="E164" s="14" t="n">
        <v>48</v>
      </c>
      <c r="F164" s="10" t="n">
        <f aca="false">E164/'Correction factors'!$B$10</f>
        <v>3.8712</v>
      </c>
      <c r="G164" s="11" t="n">
        <v>358</v>
      </c>
    </row>
    <row r="165" customFormat="false" ht="15" hidden="false" customHeight="false" outlineLevel="0" collapsed="false">
      <c r="A165" s="10" t="n">
        <v>35.0660648345947</v>
      </c>
      <c r="B165" s="11" t="n">
        <v>180</v>
      </c>
      <c r="C165" s="12" t="n">
        <f aca="false">B165*'Correction factors'!$B$7</f>
        <v>871.02</v>
      </c>
      <c r="D165" s="13" t="n">
        <v>5.409896</v>
      </c>
      <c r="E165" s="14" t="n">
        <v>48</v>
      </c>
      <c r="F165" s="10" t="n">
        <f aca="false">E165/'Correction factors'!$B$10</f>
        <v>3.8712</v>
      </c>
      <c r="G165" s="11" t="n">
        <v>359</v>
      </c>
    </row>
    <row r="166" customFormat="false" ht="15" hidden="false" customHeight="false" outlineLevel="0" collapsed="false">
      <c r="A166" s="10" t="n">
        <v>35.5151064395905</v>
      </c>
      <c r="B166" s="11" t="n">
        <v>200</v>
      </c>
      <c r="C166" s="12" t="n">
        <f aca="false">B166*'Correction factors'!$B$7</f>
        <v>967.8</v>
      </c>
      <c r="D166" s="13" t="n">
        <v>5.400074</v>
      </c>
      <c r="E166" s="14" t="n">
        <v>48</v>
      </c>
      <c r="F166" s="10" t="n">
        <f aca="false">E166/'Correction factors'!$B$10</f>
        <v>3.8712</v>
      </c>
      <c r="G166" s="11" t="n">
        <v>360</v>
      </c>
    </row>
    <row r="167" customFormat="false" ht="15" hidden="false" customHeight="false" outlineLevel="0" collapsed="false">
      <c r="A167" s="10" t="n">
        <v>35.5151064395905</v>
      </c>
      <c r="B167" s="11" t="n">
        <v>180</v>
      </c>
      <c r="C167" s="12" t="n">
        <f aca="false">B167*'Correction factors'!$B$7</f>
        <v>871.02</v>
      </c>
      <c r="D167" s="13" t="n">
        <v>5.390253</v>
      </c>
      <c r="E167" s="14" t="n">
        <v>48</v>
      </c>
      <c r="F167" s="10" t="n">
        <f aca="false">E167/'Correction factors'!$B$10</f>
        <v>3.8712</v>
      </c>
      <c r="G167" s="11" t="n">
        <v>360</v>
      </c>
    </row>
    <row r="168" customFormat="false" ht="15" hidden="false" customHeight="false" outlineLevel="0" collapsed="false">
      <c r="A168" s="10" t="n">
        <v>35.9627690315247</v>
      </c>
      <c r="B168" s="11" t="n">
        <v>200</v>
      </c>
      <c r="C168" s="12" t="n">
        <f aca="false">B168*'Correction factors'!$B$7</f>
        <v>967.8</v>
      </c>
      <c r="D168" s="13" t="n">
        <v>5.390253</v>
      </c>
      <c r="E168" s="14" t="n">
        <v>56</v>
      </c>
      <c r="F168" s="10" t="n">
        <f aca="false">E168/'Correction factors'!$B$10</f>
        <v>4.5164</v>
      </c>
      <c r="G168" s="11" t="n">
        <v>362</v>
      </c>
    </row>
    <row r="169" customFormat="false" ht="15" hidden="false" customHeight="false" outlineLevel="0" collapsed="false">
      <c r="A169" s="10" t="n">
        <v>35.9627690315247</v>
      </c>
      <c r="B169" s="11" t="n">
        <v>220</v>
      </c>
      <c r="C169" s="12" t="n">
        <f aca="false">B169*'Correction factors'!$B$7</f>
        <v>1064.58</v>
      </c>
      <c r="D169" s="13" t="n">
        <v>5.37061</v>
      </c>
      <c r="E169" s="14" t="n">
        <v>48</v>
      </c>
      <c r="F169" s="10" t="n">
        <f aca="false">E169/'Correction factors'!$B$10</f>
        <v>3.8712</v>
      </c>
      <c r="G169" s="11" t="n">
        <v>360</v>
      </c>
    </row>
    <row r="170" customFormat="false" ht="15" hidden="false" customHeight="false" outlineLevel="0" collapsed="false">
      <c r="A170" s="10" t="n">
        <v>36.4230480194092</v>
      </c>
      <c r="B170" s="11" t="n">
        <v>200</v>
      </c>
      <c r="C170" s="12" t="n">
        <f aca="false">B170*'Correction factors'!$B$7</f>
        <v>967.8</v>
      </c>
      <c r="D170" s="13" t="n">
        <v>5.360788</v>
      </c>
      <c r="E170" s="14" t="n">
        <v>48</v>
      </c>
      <c r="F170" s="10" t="n">
        <f aca="false">E170/'Correction factors'!$B$10</f>
        <v>3.8712</v>
      </c>
      <c r="G170" s="11" t="n">
        <v>357</v>
      </c>
    </row>
    <row r="171" customFormat="false" ht="15" hidden="false" customHeight="false" outlineLevel="0" collapsed="false">
      <c r="A171" s="10" t="n">
        <v>36.4230480194092</v>
      </c>
      <c r="B171" s="11" t="n">
        <v>200</v>
      </c>
      <c r="C171" s="12" t="n">
        <f aca="false">B171*'Correction factors'!$B$7</f>
        <v>967.8</v>
      </c>
      <c r="D171" s="13" t="n">
        <v>5.360788</v>
      </c>
      <c r="E171" s="14" t="n">
        <v>56</v>
      </c>
      <c r="F171" s="10" t="n">
        <f aca="false">E171/'Correction factors'!$B$10</f>
        <v>4.5164</v>
      </c>
      <c r="G171" s="11" t="n">
        <v>357</v>
      </c>
    </row>
    <row r="172" customFormat="false" ht="15" hidden="false" customHeight="false" outlineLevel="0" collapsed="false">
      <c r="A172" s="10" t="n">
        <v>36.4230480194092</v>
      </c>
      <c r="B172" s="11" t="n">
        <v>180</v>
      </c>
      <c r="C172" s="12" t="n">
        <f aca="false">B172*'Correction factors'!$B$7</f>
        <v>871.02</v>
      </c>
      <c r="D172" s="13" t="n">
        <v>5.350966</v>
      </c>
      <c r="E172" s="14" t="n">
        <v>48</v>
      </c>
      <c r="F172" s="10" t="n">
        <f aca="false">E172/'Correction factors'!$B$10</f>
        <v>3.8712</v>
      </c>
      <c r="G172" s="11" t="n">
        <v>359</v>
      </c>
    </row>
    <row r="173" customFormat="false" ht="15" hidden="false" customHeight="false" outlineLevel="0" collapsed="false">
      <c r="A173" s="10" t="n">
        <v>36.9333527088165</v>
      </c>
      <c r="B173" s="11" t="n">
        <v>200</v>
      </c>
      <c r="C173" s="12" t="n">
        <f aca="false">B173*'Correction factors'!$B$7</f>
        <v>967.8</v>
      </c>
      <c r="D173" s="13" t="n">
        <v>5.360788</v>
      </c>
      <c r="E173" s="14" t="n">
        <v>48</v>
      </c>
      <c r="F173" s="10" t="n">
        <f aca="false">E173/'Correction factors'!$B$10</f>
        <v>3.8712</v>
      </c>
      <c r="G173" s="11" t="n">
        <v>362</v>
      </c>
    </row>
    <row r="174" customFormat="false" ht="15" hidden="false" customHeight="false" outlineLevel="0" collapsed="false">
      <c r="A174" s="10" t="n">
        <v>36.9333527088165</v>
      </c>
      <c r="B174" s="11" t="n">
        <v>200</v>
      </c>
      <c r="C174" s="12" t="n">
        <f aca="false">B174*'Correction factors'!$B$7</f>
        <v>967.8</v>
      </c>
      <c r="D174" s="13" t="n">
        <v>5.350966</v>
      </c>
      <c r="E174" s="14" t="n">
        <v>56</v>
      </c>
      <c r="F174" s="10" t="n">
        <f aca="false">E174/'Correction factors'!$B$10</f>
        <v>4.5164</v>
      </c>
      <c r="G174" s="11" t="n">
        <v>362</v>
      </c>
    </row>
    <row r="175" customFormat="false" ht="15" hidden="false" customHeight="false" outlineLevel="0" collapsed="false">
      <c r="A175" s="10" t="n">
        <v>37.4208931922913</v>
      </c>
      <c r="B175" s="11" t="n">
        <v>200</v>
      </c>
      <c r="C175" s="12" t="n">
        <f aca="false">B175*'Correction factors'!$B$7</f>
        <v>967.8</v>
      </c>
      <c r="D175" s="13" t="n">
        <v>5.341145</v>
      </c>
      <c r="E175" s="14" t="n">
        <v>48</v>
      </c>
      <c r="F175" s="10" t="n">
        <f aca="false">E175/'Correction factors'!$B$10</f>
        <v>3.8712</v>
      </c>
      <c r="G175" s="11" t="n">
        <v>360</v>
      </c>
    </row>
    <row r="176" customFormat="false" ht="15" hidden="false" customHeight="false" outlineLevel="0" collapsed="false">
      <c r="A176" s="10" t="n">
        <v>37.4208931922913</v>
      </c>
      <c r="B176" s="11" t="n">
        <v>220</v>
      </c>
      <c r="C176" s="12" t="n">
        <f aca="false">B176*'Correction factors'!$B$7</f>
        <v>1064.58</v>
      </c>
      <c r="D176" s="13" t="n">
        <v>5.331323</v>
      </c>
      <c r="E176" s="14" t="n">
        <v>56</v>
      </c>
      <c r="F176" s="10" t="n">
        <f aca="false">E176/'Correction factors'!$B$10</f>
        <v>4.5164</v>
      </c>
      <c r="G176" s="11" t="n">
        <v>360</v>
      </c>
    </row>
    <row r="177" customFormat="false" ht="15" hidden="false" customHeight="false" outlineLevel="0" collapsed="false">
      <c r="A177" s="10" t="n">
        <v>37.883556842804</v>
      </c>
      <c r="B177" s="11" t="n">
        <v>200</v>
      </c>
      <c r="C177" s="12" t="n">
        <f aca="false">B177*'Correction factors'!$B$7</f>
        <v>967.8</v>
      </c>
      <c r="D177" s="13" t="n">
        <v>5.331323</v>
      </c>
      <c r="E177" s="14" t="n">
        <v>48</v>
      </c>
      <c r="F177" s="10" t="n">
        <f aca="false">E177/'Correction factors'!$B$10</f>
        <v>3.8712</v>
      </c>
      <c r="G177" s="11" t="n">
        <v>358</v>
      </c>
    </row>
    <row r="178" customFormat="false" ht="15" hidden="false" customHeight="false" outlineLevel="0" collapsed="false">
      <c r="A178" s="10" t="n">
        <v>37.883556842804</v>
      </c>
      <c r="B178" s="11" t="n">
        <v>200</v>
      </c>
      <c r="C178" s="12" t="n">
        <f aca="false">B178*'Correction factors'!$B$7</f>
        <v>967.8</v>
      </c>
      <c r="D178" s="13" t="n">
        <v>5.331323</v>
      </c>
      <c r="E178" s="14" t="n">
        <v>48</v>
      </c>
      <c r="F178" s="10" t="n">
        <f aca="false">E178/'Correction factors'!$B$10</f>
        <v>3.8712</v>
      </c>
      <c r="G178" s="11" t="n">
        <v>359</v>
      </c>
    </row>
    <row r="179" customFormat="false" ht="15" hidden="false" customHeight="false" outlineLevel="0" collapsed="false">
      <c r="A179" s="10" t="n">
        <v>37.883556842804</v>
      </c>
      <c r="B179" s="11" t="n">
        <v>200</v>
      </c>
      <c r="C179" s="12" t="n">
        <f aca="false">B179*'Correction factors'!$B$7</f>
        <v>967.8</v>
      </c>
      <c r="D179" s="13" t="n">
        <v>5.331323</v>
      </c>
      <c r="E179" s="14" t="n">
        <v>56</v>
      </c>
      <c r="F179" s="10" t="n">
        <f aca="false">E179/'Correction factors'!$B$10</f>
        <v>4.5164</v>
      </c>
      <c r="G179" s="11" t="n">
        <v>358</v>
      </c>
    </row>
    <row r="180" customFormat="false" ht="15" hidden="false" customHeight="false" outlineLevel="0" collapsed="false">
      <c r="A180" s="10" t="n">
        <v>38.3764207363129</v>
      </c>
      <c r="B180" s="11" t="n">
        <v>200</v>
      </c>
      <c r="C180" s="12" t="n">
        <f aca="false">B180*'Correction factors'!$B$7</f>
        <v>967.8</v>
      </c>
      <c r="D180" s="13" t="n">
        <v>5.321502</v>
      </c>
      <c r="E180" s="14" t="n">
        <v>48</v>
      </c>
      <c r="F180" s="10" t="n">
        <f aca="false">E180/'Correction factors'!$B$10</f>
        <v>3.8712</v>
      </c>
      <c r="G180" s="11" t="n">
        <v>359</v>
      </c>
    </row>
    <row r="181" customFormat="false" ht="15" hidden="false" customHeight="false" outlineLevel="0" collapsed="false">
      <c r="A181" s="10" t="n">
        <v>38.3764207363129</v>
      </c>
      <c r="B181" s="11" t="n">
        <v>180</v>
      </c>
      <c r="C181" s="12" t="n">
        <f aca="false">B181*'Correction factors'!$B$7</f>
        <v>871.02</v>
      </c>
      <c r="D181" s="13" t="n">
        <v>5.31168</v>
      </c>
      <c r="E181" s="14" t="n">
        <v>48</v>
      </c>
      <c r="F181" s="10" t="n">
        <f aca="false">E181/'Correction factors'!$B$10</f>
        <v>3.8712</v>
      </c>
      <c r="G181" s="11" t="n">
        <v>358</v>
      </c>
    </row>
    <row r="182" customFormat="false" ht="15" hidden="false" customHeight="false" outlineLevel="0" collapsed="false">
      <c r="A182" s="10" t="n">
        <v>38.826101064682</v>
      </c>
      <c r="B182" s="11" t="n">
        <v>200</v>
      </c>
      <c r="C182" s="12" t="n">
        <f aca="false">B182*'Correction factors'!$B$7</f>
        <v>967.8</v>
      </c>
      <c r="D182" s="13" t="n">
        <v>5.31168</v>
      </c>
      <c r="E182" s="14" t="n">
        <v>48</v>
      </c>
      <c r="F182" s="10" t="n">
        <f aca="false">E182/'Correction factors'!$B$10</f>
        <v>3.8712</v>
      </c>
      <c r="G182" s="11" t="n">
        <v>362</v>
      </c>
    </row>
    <row r="183" customFormat="false" ht="15" hidden="false" customHeight="false" outlineLevel="0" collapsed="false">
      <c r="A183" s="10" t="n">
        <v>38.826101064682</v>
      </c>
      <c r="B183" s="11" t="n">
        <v>220</v>
      </c>
      <c r="C183" s="12" t="n">
        <f aca="false">B183*'Correction factors'!$B$7</f>
        <v>1064.58</v>
      </c>
      <c r="D183" s="13" t="n">
        <v>5.301858</v>
      </c>
      <c r="E183" s="14" t="n">
        <v>56</v>
      </c>
      <c r="F183" s="10" t="n">
        <f aca="false">E183/'Correction factors'!$B$10</f>
        <v>4.5164</v>
      </c>
      <c r="G183" s="11" t="n">
        <v>362</v>
      </c>
    </row>
    <row r="184" customFormat="false" ht="15" hidden="false" customHeight="false" outlineLevel="0" collapsed="false">
      <c r="A184" s="10" t="n">
        <v>39.2740564346314</v>
      </c>
      <c r="B184" s="11" t="n">
        <v>200</v>
      </c>
      <c r="C184" s="12" t="n">
        <f aca="false">B184*'Correction factors'!$B$7</f>
        <v>967.8</v>
      </c>
      <c r="D184" s="13" t="n">
        <v>5.31168</v>
      </c>
      <c r="E184" s="14" t="n">
        <v>48</v>
      </c>
      <c r="F184" s="10" t="n">
        <f aca="false">E184/'Correction factors'!$B$10</f>
        <v>3.8712</v>
      </c>
      <c r="G184" s="11" t="n">
        <v>357</v>
      </c>
    </row>
    <row r="185" customFormat="false" ht="15" hidden="false" customHeight="false" outlineLevel="0" collapsed="false">
      <c r="A185" s="10" t="n">
        <v>39.2740564346314</v>
      </c>
      <c r="B185" s="11" t="n">
        <v>200</v>
      </c>
      <c r="C185" s="12" t="n">
        <f aca="false">B185*'Correction factors'!$B$7</f>
        <v>967.8</v>
      </c>
      <c r="D185" s="13" t="n">
        <v>5.301858</v>
      </c>
      <c r="E185" s="14" t="n">
        <v>48</v>
      </c>
      <c r="F185" s="10" t="n">
        <f aca="false">E185/'Correction factors'!$B$10</f>
        <v>3.8712</v>
      </c>
      <c r="G185" s="11" t="n">
        <v>358</v>
      </c>
    </row>
    <row r="186" customFormat="false" ht="15" hidden="false" customHeight="false" outlineLevel="0" collapsed="false">
      <c r="A186" s="10" t="n">
        <v>39.7210280895233</v>
      </c>
      <c r="B186" s="11" t="n">
        <v>220</v>
      </c>
      <c r="C186" s="12" t="n">
        <f aca="false">B186*'Correction factors'!$B$7</f>
        <v>1064.58</v>
      </c>
      <c r="D186" s="13" t="n">
        <v>5.301858</v>
      </c>
      <c r="E186" s="14" t="n">
        <v>56</v>
      </c>
      <c r="F186" s="10" t="n">
        <f aca="false">E186/'Correction factors'!$B$10</f>
        <v>4.5164</v>
      </c>
      <c r="G186" s="11" t="n">
        <v>358</v>
      </c>
    </row>
    <row r="187" customFormat="false" ht="15" hidden="false" customHeight="false" outlineLevel="0" collapsed="false">
      <c r="A187" s="10" t="n">
        <v>39.7210280895233</v>
      </c>
      <c r="B187" s="11" t="n">
        <v>200</v>
      </c>
      <c r="C187" s="12" t="n">
        <f aca="false">B187*'Correction factors'!$B$7</f>
        <v>967.8</v>
      </c>
      <c r="D187" s="13" t="n">
        <v>5.301858</v>
      </c>
      <c r="E187" s="14" t="n">
        <v>48</v>
      </c>
      <c r="F187" s="10" t="n">
        <f aca="false">E187/'Correction factors'!$B$10</f>
        <v>3.8712</v>
      </c>
      <c r="G187" s="11" t="n">
        <v>357</v>
      </c>
    </row>
    <row r="188" customFormat="false" ht="15" hidden="false" customHeight="false" outlineLevel="0" collapsed="false">
      <c r="A188" s="10" t="n">
        <v>40.1676671504974</v>
      </c>
      <c r="B188" s="11" t="n">
        <v>200</v>
      </c>
      <c r="C188" s="12" t="n">
        <f aca="false">B188*'Correction factors'!$B$7</f>
        <v>967.8</v>
      </c>
      <c r="D188" s="13" t="n">
        <v>5.301858</v>
      </c>
      <c r="E188" s="14" t="n">
        <v>48</v>
      </c>
      <c r="F188" s="10" t="n">
        <f aca="false">E188/'Correction factors'!$B$10</f>
        <v>3.8712</v>
      </c>
      <c r="G188" s="11" t="n">
        <v>359</v>
      </c>
    </row>
    <row r="189" customFormat="false" ht="15" hidden="false" customHeight="false" outlineLevel="0" collapsed="false">
      <c r="A189" s="10" t="n">
        <v>40.1676671504974</v>
      </c>
      <c r="B189" s="11" t="n">
        <v>220</v>
      </c>
      <c r="C189" s="12" t="n">
        <f aca="false">B189*'Correction factors'!$B$7</f>
        <v>1064.58</v>
      </c>
      <c r="D189" s="13" t="n">
        <v>5.292037</v>
      </c>
      <c r="E189" s="14" t="n">
        <v>48</v>
      </c>
      <c r="F189" s="10" t="n">
        <f aca="false">E189/'Correction factors'!$B$10</f>
        <v>3.8712</v>
      </c>
      <c r="G189" s="11" t="n">
        <v>358</v>
      </c>
    </row>
    <row r="190" customFormat="false" ht="15" hidden="false" customHeight="false" outlineLevel="0" collapsed="false">
      <c r="A190" s="10" t="n">
        <v>40.1676671504974</v>
      </c>
      <c r="B190" s="11" t="n">
        <v>200</v>
      </c>
      <c r="C190" s="12" t="n">
        <f aca="false">B190*'Correction factors'!$B$7</f>
        <v>967.8</v>
      </c>
      <c r="D190" s="13" t="n">
        <v>5.292037</v>
      </c>
      <c r="E190" s="14" t="n">
        <v>48</v>
      </c>
      <c r="F190" s="10" t="n">
        <f aca="false">E190/'Correction factors'!$B$10</f>
        <v>3.8712</v>
      </c>
      <c r="G190" s="11" t="n">
        <v>358</v>
      </c>
    </row>
    <row r="191" customFormat="false" ht="15" hidden="false" customHeight="false" outlineLevel="0" collapsed="false">
      <c r="A191" s="10" t="n">
        <v>40.6370286941528</v>
      </c>
      <c r="B191" s="11" t="n">
        <v>220</v>
      </c>
      <c r="C191" s="12" t="n">
        <f aca="false">B191*'Correction factors'!$B$7</f>
        <v>1064.58</v>
      </c>
      <c r="D191" s="13" t="n">
        <v>5.282216</v>
      </c>
      <c r="E191" s="14" t="n">
        <v>56</v>
      </c>
      <c r="F191" s="10" t="n">
        <f aca="false">E191/'Correction factors'!$B$10</f>
        <v>4.5164</v>
      </c>
      <c r="G191" s="11" t="n">
        <v>357</v>
      </c>
    </row>
    <row r="192" customFormat="false" ht="15" hidden="false" customHeight="false" outlineLevel="0" collapsed="false">
      <c r="A192" s="10" t="n">
        <v>40.6370286941528</v>
      </c>
      <c r="B192" s="11" t="n">
        <v>200</v>
      </c>
      <c r="C192" s="12" t="n">
        <f aca="false">B192*'Correction factors'!$B$7</f>
        <v>967.8</v>
      </c>
      <c r="D192" s="13" t="n">
        <v>5.272394</v>
      </c>
      <c r="E192" s="14" t="n">
        <v>48</v>
      </c>
      <c r="F192" s="10" t="n">
        <f aca="false">E192/'Correction factors'!$B$10</f>
        <v>3.8712</v>
      </c>
      <c r="G192" s="11" t="n">
        <v>357</v>
      </c>
    </row>
    <row r="193" customFormat="false" ht="15" hidden="false" customHeight="false" outlineLevel="0" collapsed="false">
      <c r="A193" s="10" t="n">
        <v>41.0872137546539</v>
      </c>
      <c r="B193" s="11" t="n">
        <v>200</v>
      </c>
      <c r="C193" s="12" t="n">
        <f aca="false">B193*'Correction factors'!$B$7</f>
        <v>967.8</v>
      </c>
      <c r="D193" s="13" t="n">
        <v>5.282216</v>
      </c>
      <c r="E193" s="14" t="n">
        <v>48</v>
      </c>
      <c r="F193" s="10" t="n">
        <f aca="false">E193/'Correction factors'!$B$10</f>
        <v>3.8712</v>
      </c>
      <c r="G193" s="11" t="n">
        <v>357</v>
      </c>
    </row>
    <row r="194" customFormat="false" ht="15" hidden="false" customHeight="false" outlineLevel="0" collapsed="false">
      <c r="A194" s="10" t="n">
        <v>41.0872137546539</v>
      </c>
      <c r="B194" s="11" t="n">
        <v>200</v>
      </c>
      <c r="C194" s="12" t="n">
        <f aca="false">B194*'Correction factors'!$B$7</f>
        <v>967.8</v>
      </c>
      <c r="D194" s="13" t="n">
        <v>5.272394</v>
      </c>
      <c r="E194" s="14" t="n">
        <v>48</v>
      </c>
      <c r="F194" s="10" t="n">
        <f aca="false">E194/'Correction factors'!$B$10</f>
        <v>3.8712</v>
      </c>
      <c r="G194" s="11" t="n">
        <v>357</v>
      </c>
    </row>
    <row r="195" customFormat="false" ht="15" hidden="false" customHeight="false" outlineLevel="0" collapsed="false">
      <c r="A195" s="10" t="n">
        <v>41.5699183940888</v>
      </c>
      <c r="B195" s="11" t="n">
        <v>200</v>
      </c>
      <c r="C195" s="12" t="n">
        <f aca="false">B195*'Correction factors'!$B$7</f>
        <v>967.8</v>
      </c>
      <c r="D195" s="13" t="n">
        <v>5.272394</v>
      </c>
      <c r="E195" s="14" t="n">
        <v>48</v>
      </c>
      <c r="F195" s="10" t="n">
        <f aca="false">E195/'Correction factors'!$B$10</f>
        <v>3.8712</v>
      </c>
      <c r="G195" s="11" t="n">
        <v>357</v>
      </c>
    </row>
    <row r="196" customFormat="false" ht="15" hidden="false" customHeight="false" outlineLevel="0" collapsed="false">
      <c r="A196" s="10" t="n">
        <v>41.5699183940888</v>
      </c>
      <c r="B196" s="11" t="n">
        <v>200</v>
      </c>
      <c r="C196" s="12" t="n">
        <f aca="false">B196*'Correction factors'!$B$7</f>
        <v>967.8</v>
      </c>
      <c r="D196" s="13" t="n">
        <v>5.272394</v>
      </c>
      <c r="E196" s="14" t="n">
        <v>48</v>
      </c>
      <c r="F196" s="10" t="n">
        <f aca="false">E196/'Correction factors'!$B$10</f>
        <v>3.8712</v>
      </c>
      <c r="G196" s="11" t="n">
        <v>357</v>
      </c>
    </row>
    <row r="197" customFormat="false" ht="15" hidden="false" customHeight="false" outlineLevel="0" collapsed="false">
      <c r="A197" s="10" t="n">
        <v>42.0084929466248</v>
      </c>
      <c r="B197" s="11" t="n">
        <v>180</v>
      </c>
      <c r="C197" s="12" t="n">
        <f aca="false">B197*'Correction factors'!$B$7</f>
        <v>871.02</v>
      </c>
      <c r="D197" s="13" t="n">
        <v>5.262572</v>
      </c>
      <c r="E197" s="14" t="n">
        <v>48</v>
      </c>
      <c r="F197" s="10" t="n">
        <f aca="false">E197/'Correction factors'!$B$10</f>
        <v>3.8712</v>
      </c>
      <c r="G197" s="11" t="n">
        <v>357</v>
      </c>
    </row>
    <row r="198" customFormat="false" ht="15" hidden="false" customHeight="false" outlineLevel="0" collapsed="false">
      <c r="A198" s="10" t="n">
        <v>42.0084929466248</v>
      </c>
      <c r="B198" s="11" t="n">
        <v>180</v>
      </c>
      <c r="C198" s="12" t="n">
        <f aca="false">B198*'Correction factors'!$B$7</f>
        <v>871.02</v>
      </c>
      <c r="D198" s="13" t="n">
        <v>5.262572</v>
      </c>
      <c r="E198" s="14" t="n">
        <v>48</v>
      </c>
      <c r="F198" s="10" t="n">
        <f aca="false">E198/'Correction factors'!$B$10</f>
        <v>3.8712</v>
      </c>
      <c r="G198" s="11" t="n">
        <v>358</v>
      </c>
    </row>
    <row r="199" customFormat="false" ht="15" hidden="false" customHeight="false" outlineLevel="0" collapsed="false">
      <c r="A199" s="10" t="n">
        <v>42.0084929466248</v>
      </c>
      <c r="B199" s="11" t="n">
        <v>180</v>
      </c>
      <c r="C199" s="12" t="n">
        <f aca="false">B199*'Correction factors'!$B$7</f>
        <v>871.02</v>
      </c>
      <c r="D199" s="13" t="n">
        <v>5.272394</v>
      </c>
      <c r="E199" s="14" t="n">
        <v>56</v>
      </c>
      <c r="F199" s="10" t="n">
        <f aca="false">E199/'Correction factors'!$B$10</f>
        <v>4.5164</v>
      </c>
      <c r="G199" s="11" t="n">
        <v>362</v>
      </c>
    </row>
    <row r="200" customFormat="false" ht="15" hidden="false" customHeight="false" outlineLevel="0" collapsed="false">
      <c r="A200" s="10" t="n">
        <v>42.5066447257996</v>
      </c>
      <c r="B200" s="11" t="n">
        <v>180</v>
      </c>
      <c r="C200" s="12" t="n">
        <f aca="false">B200*'Correction factors'!$B$7</f>
        <v>871.02</v>
      </c>
      <c r="D200" s="13" t="n">
        <v>5.262572</v>
      </c>
      <c r="E200" s="14" t="n">
        <v>48</v>
      </c>
      <c r="F200" s="10" t="n">
        <f aca="false">E200/'Correction factors'!$B$10</f>
        <v>3.8712</v>
      </c>
      <c r="G200" s="11" t="n">
        <v>360</v>
      </c>
    </row>
    <row r="201" customFormat="false" ht="15" hidden="false" customHeight="false" outlineLevel="0" collapsed="false">
      <c r="A201" s="10" t="n">
        <v>42.5066447257996</v>
      </c>
      <c r="B201" s="11" t="n">
        <v>200</v>
      </c>
      <c r="C201" s="12" t="n">
        <f aca="false">B201*'Correction factors'!$B$7</f>
        <v>967.8</v>
      </c>
      <c r="D201" s="13" t="n">
        <v>5.262572</v>
      </c>
      <c r="E201" s="14" t="n">
        <v>48</v>
      </c>
      <c r="F201" s="10" t="n">
        <f aca="false">E201/'Correction factors'!$B$10</f>
        <v>3.8712</v>
      </c>
      <c r="G201" s="11" t="n">
        <v>360</v>
      </c>
    </row>
    <row r="202" customFormat="false" ht="15" hidden="false" customHeight="false" outlineLevel="0" collapsed="false">
      <c r="A202" s="10" t="n">
        <v>42.9396328926086</v>
      </c>
      <c r="B202" s="11" t="n">
        <v>200</v>
      </c>
      <c r="C202" s="12" t="n">
        <f aca="false">B202*'Correction factors'!$B$7</f>
        <v>967.8</v>
      </c>
      <c r="D202" s="13" t="n">
        <v>5.233108</v>
      </c>
      <c r="E202" s="14" t="n">
        <v>48</v>
      </c>
      <c r="F202" s="10" t="n">
        <f aca="false">E202/'Correction factors'!$B$10</f>
        <v>3.8712</v>
      </c>
      <c r="G202" s="11" t="n">
        <v>360</v>
      </c>
    </row>
    <row r="203" customFormat="false" ht="15" hidden="false" customHeight="false" outlineLevel="0" collapsed="false">
      <c r="A203" s="10" t="n">
        <v>42.9396328926086</v>
      </c>
      <c r="B203" s="11" t="n">
        <v>200</v>
      </c>
      <c r="C203" s="12" t="n">
        <f aca="false">B203*'Correction factors'!$B$7</f>
        <v>967.8</v>
      </c>
      <c r="D203" s="13" t="n">
        <v>5.242929</v>
      </c>
      <c r="E203" s="14" t="n">
        <v>56</v>
      </c>
      <c r="F203" s="10" t="n">
        <f aca="false">E203/'Correction factors'!$B$10</f>
        <v>4.5164</v>
      </c>
      <c r="G203" s="11" t="n">
        <v>360</v>
      </c>
    </row>
    <row r="204" customFormat="false" ht="15" hidden="false" customHeight="false" outlineLevel="0" collapsed="false">
      <c r="A204" s="10" t="n">
        <v>43.3825967311859</v>
      </c>
      <c r="B204" s="11" t="n">
        <v>200</v>
      </c>
      <c r="C204" s="12" t="n">
        <f aca="false">B204*'Correction factors'!$B$7</f>
        <v>967.8</v>
      </c>
      <c r="D204" s="13" t="n">
        <v>5.233108</v>
      </c>
      <c r="E204" s="14" t="n">
        <v>48</v>
      </c>
      <c r="F204" s="10" t="n">
        <f aca="false">E204/'Correction factors'!$B$10</f>
        <v>3.8712</v>
      </c>
      <c r="G204" s="11" t="n">
        <v>360</v>
      </c>
    </row>
    <row r="205" customFormat="false" ht="15" hidden="false" customHeight="false" outlineLevel="0" collapsed="false">
      <c r="A205" s="10" t="n">
        <v>43.3825967311859</v>
      </c>
      <c r="B205" s="11" t="n">
        <v>180</v>
      </c>
      <c r="C205" s="12" t="n">
        <f aca="false">B205*'Correction factors'!$B$7</f>
        <v>871.02</v>
      </c>
      <c r="D205" s="13" t="n">
        <v>5.233108</v>
      </c>
      <c r="E205" s="14" t="n">
        <v>48</v>
      </c>
      <c r="F205" s="10" t="n">
        <f aca="false">E205/'Correction factors'!$B$10</f>
        <v>3.8712</v>
      </c>
      <c r="G205" s="11" t="n">
        <v>362</v>
      </c>
    </row>
    <row r="206" customFormat="false" ht="15" hidden="false" customHeight="false" outlineLevel="0" collapsed="false">
      <c r="A206" s="10" t="n">
        <v>43.8189263343811</v>
      </c>
      <c r="B206" s="11" t="n">
        <v>200</v>
      </c>
      <c r="C206" s="12" t="n">
        <f aca="false">B206*'Correction factors'!$B$7</f>
        <v>967.8</v>
      </c>
      <c r="D206" s="13" t="n">
        <v>5.223286</v>
      </c>
      <c r="E206" s="14" t="n">
        <v>56</v>
      </c>
      <c r="F206" s="10" t="n">
        <f aca="false">E206/'Correction factors'!$B$10</f>
        <v>4.5164</v>
      </c>
      <c r="G206" s="11" t="n">
        <v>362</v>
      </c>
    </row>
    <row r="207" customFormat="false" ht="15" hidden="false" customHeight="false" outlineLevel="0" collapsed="false">
      <c r="A207" s="10" t="n">
        <v>43.8189263343811</v>
      </c>
      <c r="B207" s="11" t="n">
        <v>200</v>
      </c>
      <c r="C207" s="12" t="n">
        <f aca="false">B207*'Correction factors'!$B$7</f>
        <v>967.8</v>
      </c>
      <c r="D207" s="13" t="n">
        <v>5.223286</v>
      </c>
      <c r="E207" s="14" t="n">
        <v>48</v>
      </c>
      <c r="F207" s="10" t="n">
        <f aca="false">E207/'Correction factors'!$B$10</f>
        <v>3.8712</v>
      </c>
      <c r="G207" s="11" t="n">
        <v>362</v>
      </c>
    </row>
    <row r="208" customFormat="false" ht="15" hidden="false" customHeight="false" outlineLevel="0" collapsed="false">
      <c r="A208" s="10" t="n">
        <v>44.2713706493378</v>
      </c>
      <c r="B208" s="11" t="n">
        <v>180</v>
      </c>
      <c r="C208" s="12" t="n">
        <f aca="false">B208*'Correction factors'!$B$7</f>
        <v>871.02</v>
      </c>
      <c r="D208" s="13" t="n">
        <v>5.213464</v>
      </c>
      <c r="E208" s="14" t="n">
        <v>48</v>
      </c>
      <c r="F208" s="10" t="n">
        <f aca="false">E208/'Correction factors'!$B$10</f>
        <v>3.8712</v>
      </c>
      <c r="G208" s="11" t="n">
        <v>360</v>
      </c>
    </row>
    <row r="209" customFormat="false" ht="15" hidden="false" customHeight="false" outlineLevel="0" collapsed="false">
      <c r="A209" s="10" t="n">
        <v>44.2713706493378</v>
      </c>
      <c r="B209" s="11" t="n">
        <v>200</v>
      </c>
      <c r="C209" s="12" t="n">
        <f aca="false">B209*'Correction factors'!$B$7</f>
        <v>967.8</v>
      </c>
      <c r="D209" s="13" t="n">
        <v>5.203642</v>
      </c>
      <c r="E209" s="14" t="n">
        <v>56</v>
      </c>
      <c r="F209" s="10" t="n">
        <f aca="false">E209/'Correction factors'!$B$10</f>
        <v>4.5164</v>
      </c>
      <c r="G209" s="11" t="n">
        <v>360</v>
      </c>
    </row>
    <row r="210" customFormat="false" ht="15" hidden="false" customHeight="false" outlineLevel="0" collapsed="false">
      <c r="A210" s="10" t="n">
        <v>44.2713706493378</v>
      </c>
      <c r="B210" s="11" t="n">
        <v>200</v>
      </c>
      <c r="C210" s="12" t="n">
        <f aca="false">B210*'Correction factors'!$B$7</f>
        <v>967.8</v>
      </c>
      <c r="D210" s="13" t="n">
        <v>5.203642</v>
      </c>
      <c r="E210" s="14" t="n">
        <v>48</v>
      </c>
      <c r="F210" s="10" t="n">
        <f aca="false">E210/'Correction factors'!$B$10</f>
        <v>3.8712</v>
      </c>
      <c r="G210" s="11" t="n">
        <v>360</v>
      </c>
    </row>
    <row r="211" customFormat="false" ht="15" hidden="false" customHeight="false" outlineLevel="0" collapsed="false">
      <c r="A211" s="10" t="n">
        <v>44.775595664978</v>
      </c>
      <c r="B211" s="11" t="n">
        <v>200</v>
      </c>
      <c r="C211" s="12" t="n">
        <f aca="false">B211*'Correction factors'!$B$7</f>
        <v>967.8</v>
      </c>
      <c r="D211" s="13" t="n">
        <v>5.203642</v>
      </c>
      <c r="E211" s="14" t="n">
        <v>56</v>
      </c>
      <c r="F211" s="10" t="n">
        <f aca="false">E211/'Correction factors'!$B$10</f>
        <v>4.5164</v>
      </c>
      <c r="G211" s="11" t="n">
        <v>360</v>
      </c>
    </row>
    <row r="212" customFormat="false" ht="15" hidden="false" customHeight="false" outlineLevel="0" collapsed="false">
      <c r="A212" s="10" t="n">
        <v>44.775595664978</v>
      </c>
      <c r="B212" s="11" t="n">
        <v>180</v>
      </c>
      <c r="C212" s="12" t="n">
        <f aca="false">B212*'Correction factors'!$B$7</f>
        <v>871.02</v>
      </c>
      <c r="D212" s="13" t="n">
        <v>5.193821</v>
      </c>
      <c r="E212" s="14" t="n">
        <v>48</v>
      </c>
      <c r="F212" s="10" t="n">
        <f aca="false">E212/'Correction factors'!$B$10</f>
        <v>3.8712</v>
      </c>
      <c r="G212" s="11" t="n">
        <v>360</v>
      </c>
    </row>
    <row r="213" customFormat="false" ht="15" hidden="false" customHeight="false" outlineLevel="0" collapsed="false">
      <c r="A213" s="10" t="n">
        <v>45.2099041938782</v>
      </c>
      <c r="B213" s="11" t="n">
        <v>200</v>
      </c>
      <c r="C213" s="12" t="n">
        <f aca="false">B213*'Correction factors'!$B$7</f>
        <v>967.8</v>
      </c>
      <c r="D213" s="13" t="n">
        <v>5.184</v>
      </c>
      <c r="E213" s="14" t="n">
        <v>48</v>
      </c>
      <c r="F213" s="10" t="n">
        <f aca="false">E213/'Correction factors'!$B$10</f>
        <v>3.8712</v>
      </c>
      <c r="G213" s="11" t="n">
        <v>363</v>
      </c>
    </row>
    <row r="214" customFormat="false" ht="15" hidden="false" customHeight="false" outlineLevel="0" collapsed="false">
      <c r="A214" s="10" t="n">
        <v>45.2099041938782</v>
      </c>
      <c r="B214" s="11" t="n">
        <v>200</v>
      </c>
      <c r="C214" s="12" t="n">
        <f aca="false">B214*'Correction factors'!$B$7</f>
        <v>967.8</v>
      </c>
      <c r="D214" s="13" t="n">
        <v>5.174178</v>
      </c>
      <c r="E214" s="14" t="n">
        <v>56</v>
      </c>
      <c r="F214" s="10" t="n">
        <f aca="false">E214/'Correction factors'!$B$10</f>
        <v>4.5164</v>
      </c>
      <c r="G214" s="11" t="n">
        <v>363</v>
      </c>
    </row>
    <row r="215" customFormat="false" ht="15" hidden="false" customHeight="false" outlineLevel="0" collapsed="false">
      <c r="A215" s="10" t="n">
        <v>45.614871263504</v>
      </c>
      <c r="B215" s="11" t="n">
        <v>220</v>
      </c>
      <c r="C215" s="12" t="n">
        <f aca="false">B215*'Correction factors'!$B$7</f>
        <v>1064.58</v>
      </c>
      <c r="D215" s="13" t="n">
        <v>5.164356</v>
      </c>
      <c r="E215" s="14" t="n">
        <v>56</v>
      </c>
      <c r="F215" s="10" t="n">
        <f aca="false">E215/'Correction factors'!$B$10</f>
        <v>4.5164</v>
      </c>
      <c r="G215" s="11" t="n">
        <v>362</v>
      </c>
    </row>
    <row r="216" customFormat="false" ht="15" hidden="false" customHeight="false" outlineLevel="0" collapsed="false">
      <c r="A216" s="10" t="n">
        <v>45.614871263504</v>
      </c>
      <c r="B216" s="11" t="n">
        <v>200</v>
      </c>
      <c r="C216" s="12" t="n">
        <f aca="false">B216*'Correction factors'!$B$7</f>
        <v>967.8</v>
      </c>
      <c r="D216" s="13" t="n">
        <v>5.154535</v>
      </c>
      <c r="E216" s="14" t="n">
        <v>48</v>
      </c>
      <c r="F216" s="10" t="n">
        <f aca="false">E216/'Correction factors'!$B$10</f>
        <v>3.8712</v>
      </c>
      <c r="G216" s="11" t="n">
        <v>360</v>
      </c>
    </row>
    <row r="217" customFormat="false" ht="15" hidden="false" customHeight="false" outlineLevel="0" collapsed="false">
      <c r="A217" s="10" t="n">
        <v>46.0638153553009</v>
      </c>
      <c r="B217" s="11" t="n">
        <v>200</v>
      </c>
      <c r="C217" s="12" t="n">
        <f aca="false">B217*'Correction factors'!$B$7</f>
        <v>967.8</v>
      </c>
      <c r="D217" s="13" t="n">
        <v>5.144713</v>
      </c>
      <c r="E217" s="14" t="n">
        <v>56</v>
      </c>
      <c r="F217" s="10" t="n">
        <f aca="false">E217/'Correction factors'!$B$10</f>
        <v>4.5164</v>
      </c>
      <c r="G217" s="11" t="n">
        <v>360</v>
      </c>
    </row>
    <row r="218" customFormat="false" ht="15" hidden="false" customHeight="false" outlineLevel="0" collapsed="false">
      <c r="A218" s="10" t="n">
        <v>46.0638153553009</v>
      </c>
      <c r="B218" s="11" t="n">
        <v>200</v>
      </c>
      <c r="C218" s="12" t="n">
        <f aca="false">B218*'Correction factors'!$B$7</f>
        <v>967.8</v>
      </c>
      <c r="D218" s="13" t="n">
        <v>5.134892</v>
      </c>
      <c r="E218" s="14" t="n">
        <v>48</v>
      </c>
      <c r="F218" s="10" t="n">
        <f aca="false">E218/'Correction factors'!$B$10</f>
        <v>3.8712</v>
      </c>
      <c r="G218" s="11" t="n">
        <v>360</v>
      </c>
    </row>
    <row r="219" customFormat="false" ht="15" hidden="false" customHeight="false" outlineLevel="0" collapsed="false">
      <c r="A219" s="10" t="n">
        <v>46.4802722930908</v>
      </c>
      <c r="B219" s="11" t="n">
        <v>200</v>
      </c>
      <c r="C219" s="12" t="n">
        <f aca="false">B219*'Correction factors'!$B$7</f>
        <v>967.8</v>
      </c>
      <c r="D219" s="13" t="n">
        <v>5.12507</v>
      </c>
      <c r="E219" s="14" t="n">
        <v>56</v>
      </c>
      <c r="F219" s="10" t="n">
        <f aca="false">E219/'Correction factors'!$B$10</f>
        <v>4.5164</v>
      </c>
      <c r="G219" s="11" t="n">
        <v>360</v>
      </c>
    </row>
    <row r="220" customFormat="false" ht="15" hidden="false" customHeight="false" outlineLevel="0" collapsed="false">
      <c r="A220" s="10" t="n">
        <v>46.4802722930908</v>
      </c>
      <c r="B220" s="11" t="n">
        <v>200</v>
      </c>
      <c r="C220" s="12" t="n">
        <f aca="false">B220*'Correction factors'!$B$7</f>
        <v>967.8</v>
      </c>
      <c r="D220" s="13" t="n">
        <v>5.144713</v>
      </c>
      <c r="E220" s="14" t="n">
        <v>48</v>
      </c>
      <c r="F220" s="10" t="n">
        <f aca="false">E220/'Correction factors'!$B$10</f>
        <v>3.8712</v>
      </c>
      <c r="G220" s="11" t="n">
        <v>360</v>
      </c>
    </row>
    <row r="221" customFormat="false" ht="15" hidden="false" customHeight="false" outlineLevel="0" collapsed="false">
      <c r="A221" s="10" t="n">
        <v>46.8936874866486</v>
      </c>
      <c r="B221" s="11" t="n">
        <v>200</v>
      </c>
      <c r="C221" s="12" t="n">
        <f aca="false">B221*'Correction factors'!$B$7</f>
        <v>967.8</v>
      </c>
      <c r="D221" s="13" t="n">
        <v>5.12507</v>
      </c>
      <c r="E221" s="14" t="n">
        <v>56</v>
      </c>
      <c r="F221" s="10" t="n">
        <f aca="false">E221/'Correction factors'!$B$10</f>
        <v>4.5164</v>
      </c>
      <c r="G221" s="11" t="n">
        <v>360</v>
      </c>
    </row>
    <row r="222" customFormat="false" ht="15" hidden="false" customHeight="false" outlineLevel="0" collapsed="false">
      <c r="A222" s="10" t="n">
        <v>46.8936874866486</v>
      </c>
      <c r="B222" s="11" t="n">
        <v>180</v>
      </c>
      <c r="C222" s="12" t="n">
        <f aca="false">B222*'Correction factors'!$B$7</f>
        <v>871.02</v>
      </c>
      <c r="D222" s="13" t="n">
        <v>5.12507</v>
      </c>
      <c r="E222" s="14" t="n">
        <v>48</v>
      </c>
      <c r="F222" s="10" t="n">
        <f aca="false">E222/'Correction factors'!$B$10</f>
        <v>3.8712</v>
      </c>
      <c r="G222" s="11" t="n">
        <v>360</v>
      </c>
    </row>
    <row r="223" customFormat="false" ht="15" hidden="false" customHeight="false" outlineLevel="0" collapsed="false">
      <c r="A223" s="10" t="n">
        <v>47.3115637302399</v>
      </c>
      <c r="B223" s="11" t="n">
        <v>180</v>
      </c>
      <c r="C223" s="12" t="n">
        <f aca="false">B223*'Correction factors'!$B$7</f>
        <v>871.02</v>
      </c>
      <c r="D223" s="13" t="n">
        <v>5.115248</v>
      </c>
      <c r="E223" s="14" t="n">
        <v>48</v>
      </c>
      <c r="F223" s="10" t="n">
        <f aca="false">E223/'Correction factors'!$B$10</f>
        <v>3.8712</v>
      </c>
      <c r="G223" s="11" t="n">
        <v>364</v>
      </c>
    </row>
    <row r="224" customFormat="false" ht="15" hidden="false" customHeight="false" outlineLevel="0" collapsed="false">
      <c r="A224" s="10" t="n">
        <v>47.3115637302399</v>
      </c>
      <c r="B224" s="11" t="n">
        <v>220</v>
      </c>
      <c r="C224" s="12" t="n">
        <f aca="false">B224*'Correction factors'!$B$7</f>
        <v>1064.58</v>
      </c>
      <c r="D224" s="13" t="n">
        <v>5.095605</v>
      </c>
      <c r="E224" s="14" t="n">
        <v>56</v>
      </c>
      <c r="F224" s="10" t="n">
        <f aca="false">E224/'Correction factors'!$B$10</f>
        <v>4.5164</v>
      </c>
      <c r="G224" s="11" t="n">
        <v>364</v>
      </c>
    </row>
    <row r="225" customFormat="false" ht="15" hidden="false" customHeight="false" outlineLevel="0" collapsed="false">
      <c r="A225" s="10" t="n">
        <v>47.7331743240356</v>
      </c>
      <c r="B225" s="11" t="n">
        <v>200</v>
      </c>
      <c r="C225" s="12" t="n">
        <f aca="false">B225*'Correction factors'!$B$7</f>
        <v>967.8</v>
      </c>
      <c r="D225" s="13" t="n">
        <v>5.085783</v>
      </c>
      <c r="E225" s="14" t="n">
        <v>56</v>
      </c>
      <c r="F225" s="10" t="n">
        <f aca="false">E225/'Correction factors'!$B$10</f>
        <v>4.5164</v>
      </c>
      <c r="G225" s="11" t="n">
        <v>359</v>
      </c>
    </row>
    <row r="226" customFormat="false" ht="15" hidden="false" customHeight="false" outlineLevel="0" collapsed="false">
      <c r="A226" s="10" t="n">
        <v>47.7331743240356</v>
      </c>
      <c r="B226" s="11" t="n">
        <v>180</v>
      </c>
      <c r="C226" s="12" t="n">
        <f aca="false">B226*'Correction factors'!$B$7</f>
        <v>871.02</v>
      </c>
      <c r="D226" s="13" t="n">
        <v>5.095605</v>
      </c>
      <c r="E226" s="14" t="n">
        <v>48</v>
      </c>
      <c r="F226" s="10" t="n">
        <f aca="false">E226/'Correction factors'!$B$10</f>
        <v>3.8712</v>
      </c>
      <c r="G226" s="11" t="n">
        <v>362</v>
      </c>
    </row>
    <row r="227" customFormat="false" ht="15" hidden="false" customHeight="false" outlineLevel="0" collapsed="false">
      <c r="A227" s="10" t="n">
        <v>48.1437680721283</v>
      </c>
      <c r="B227" s="11" t="n">
        <v>180</v>
      </c>
      <c r="C227" s="12" t="n">
        <f aca="false">B227*'Correction factors'!$B$7</f>
        <v>871.02</v>
      </c>
      <c r="D227" s="13" t="n">
        <v>5.085783</v>
      </c>
      <c r="E227" s="14" t="n">
        <v>56</v>
      </c>
      <c r="F227" s="10" t="n">
        <f aca="false">E227/'Correction factors'!$B$10</f>
        <v>4.5164</v>
      </c>
      <c r="G227" s="11" t="n">
        <v>364</v>
      </c>
    </row>
    <row r="228" customFormat="false" ht="15" hidden="false" customHeight="false" outlineLevel="0" collapsed="false">
      <c r="A228" s="10" t="n">
        <v>48.1437680721283</v>
      </c>
      <c r="B228" s="11" t="n">
        <v>200</v>
      </c>
      <c r="C228" s="12" t="n">
        <f aca="false">B228*'Correction factors'!$B$7</f>
        <v>967.8</v>
      </c>
      <c r="D228" s="13" t="n">
        <v>5.075962</v>
      </c>
      <c r="E228" s="14" t="n">
        <v>48</v>
      </c>
      <c r="F228" s="10" t="n">
        <f aca="false">E228/'Correction factors'!$B$10</f>
        <v>3.8712</v>
      </c>
      <c r="G228" s="11" t="n">
        <v>364</v>
      </c>
    </row>
    <row r="229" customFormat="false" ht="15" hidden="false" customHeight="false" outlineLevel="0" collapsed="false">
      <c r="A229" s="10" t="n">
        <v>48.5534842014313</v>
      </c>
      <c r="B229" s="11" t="n">
        <v>200</v>
      </c>
      <c r="C229" s="12" t="n">
        <f aca="false">B229*'Correction factors'!$B$7</f>
        <v>967.8</v>
      </c>
      <c r="D229" s="13" t="n">
        <v>5.06614</v>
      </c>
      <c r="E229" s="14" t="n">
        <v>56</v>
      </c>
      <c r="F229" s="10" t="n">
        <f aca="false">E229/'Correction factors'!$B$10</f>
        <v>4.5164</v>
      </c>
      <c r="G229" s="11" t="n">
        <v>362</v>
      </c>
    </row>
    <row r="230" customFormat="false" ht="15" hidden="false" customHeight="false" outlineLevel="0" collapsed="false">
      <c r="A230" s="10" t="n">
        <v>48.5534842014313</v>
      </c>
      <c r="B230" s="11" t="n">
        <v>220</v>
      </c>
      <c r="C230" s="12" t="n">
        <f aca="false">B230*'Correction factors'!$B$7</f>
        <v>1064.58</v>
      </c>
      <c r="D230" s="13" t="n">
        <v>5.056319</v>
      </c>
      <c r="E230" s="14" t="n">
        <v>56</v>
      </c>
      <c r="F230" s="10" t="n">
        <f aca="false">E230/'Correction factors'!$B$10</f>
        <v>4.5164</v>
      </c>
      <c r="G230" s="11" t="n">
        <v>362</v>
      </c>
    </row>
    <row r="231" customFormat="false" ht="15" hidden="false" customHeight="false" outlineLevel="0" collapsed="false">
      <c r="A231" s="10" t="n">
        <v>48.9588344097138</v>
      </c>
      <c r="B231" s="11" t="n">
        <v>200</v>
      </c>
      <c r="C231" s="12" t="n">
        <f aca="false">B231*'Correction factors'!$B$7</f>
        <v>967.8</v>
      </c>
      <c r="D231" s="13" t="n">
        <v>5.046497</v>
      </c>
      <c r="E231" s="14" t="n">
        <v>48</v>
      </c>
      <c r="F231" s="10" t="n">
        <f aca="false">E231/'Correction factors'!$B$10</f>
        <v>3.8712</v>
      </c>
      <c r="G231" s="11" t="n">
        <v>362</v>
      </c>
    </row>
    <row r="232" customFormat="false" ht="15" hidden="false" customHeight="false" outlineLevel="0" collapsed="false">
      <c r="A232" s="10" t="n">
        <v>48.9588344097138</v>
      </c>
      <c r="B232" s="11" t="n">
        <v>200</v>
      </c>
      <c r="C232" s="12" t="n">
        <f aca="false">B232*'Correction factors'!$B$7</f>
        <v>967.8</v>
      </c>
      <c r="D232" s="13" t="n">
        <v>5.046497</v>
      </c>
      <c r="E232" s="14" t="n">
        <v>56</v>
      </c>
      <c r="F232" s="10" t="n">
        <f aca="false">E232/'Correction factors'!$B$10</f>
        <v>4.5164</v>
      </c>
      <c r="G232" s="11" t="n">
        <v>362</v>
      </c>
    </row>
    <row r="233" customFormat="false" ht="15" hidden="false" customHeight="false" outlineLevel="0" collapsed="false">
      <c r="A233" s="10" t="n">
        <v>49.3767266273499</v>
      </c>
      <c r="B233" s="11" t="n">
        <v>200</v>
      </c>
      <c r="C233" s="12" t="n">
        <f aca="false">B233*'Correction factors'!$B$7</f>
        <v>967.8</v>
      </c>
      <c r="D233" s="13" t="n">
        <v>5.046497</v>
      </c>
      <c r="E233" s="14" t="n">
        <v>56</v>
      </c>
      <c r="F233" s="10" t="n">
        <f aca="false">E233/'Correction factors'!$B$10</f>
        <v>4.5164</v>
      </c>
      <c r="G233" s="11" t="n">
        <v>362</v>
      </c>
    </row>
    <row r="234" customFormat="false" ht="15" hidden="false" customHeight="false" outlineLevel="0" collapsed="false">
      <c r="A234" s="10" t="n">
        <v>49.3767266273499</v>
      </c>
      <c r="B234" s="11" t="n">
        <v>200</v>
      </c>
      <c r="C234" s="12" t="n">
        <f aca="false">B234*'Correction factors'!$B$7</f>
        <v>967.8</v>
      </c>
      <c r="D234" s="13" t="n">
        <v>5.036675</v>
      </c>
      <c r="E234" s="14" t="n">
        <v>48</v>
      </c>
      <c r="F234" s="10" t="n">
        <f aca="false">E234/'Correction factors'!$B$10</f>
        <v>3.8712</v>
      </c>
      <c r="G234" s="11" t="n">
        <v>362</v>
      </c>
    </row>
    <row r="235" customFormat="false" ht="15" hidden="false" customHeight="false" outlineLevel="0" collapsed="false">
      <c r="A235" s="10" t="n">
        <v>49.7903048992157</v>
      </c>
      <c r="B235" s="11" t="n">
        <v>200</v>
      </c>
      <c r="C235" s="12" t="n">
        <f aca="false">B235*'Correction factors'!$B$7</f>
        <v>967.8</v>
      </c>
      <c r="D235" s="13" t="n">
        <v>5.026854</v>
      </c>
      <c r="E235" s="14" t="n">
        <v>56</v>
      </c>
      <c r="F235" s="10" t="n">
        <f aca="false">E235/'Correction factors'!$B$10</f>
        <v>4.5164</v>
      </c>
      <c r="G235" s="11" t="n">
        <v>362</v>
      </c>
    </row>
    <row r="236" customFormat="false" ht="15" hidden="false" customHeight="false" outlineLevel="0" collapsed="false">
      <c r="A236" s="10" t="n">
        <v>49.7903048992157</v>
      </c>
      <c r="B236" s="11" t="n">
        <v>200</v>
      </c>
      <c r="C236" s="12" t="n">
        <f aca="false">B236*'Correction factors'!$B$7</f>
        <v>967.8</v>
      </c>
      <c r="D236" s="13" t="n">
        <v>5.026854</v>
      </c>
      <c r="E236" s="14" t="n">
        <v>56</v>
      </c>
      <c r="F236" s="10" t="n">
        <f aca="false">E236/'Correction factors'!$B$10</f>
        <v>4.5164</v>
      </c>
      <c r="G236" s="11" t="n">
        <v>362</v>
      </c>
    </row>
    <row r="237" customFormat="false" ht="15" hidden="false" customHeight="false" outlineLevel="0" collapsed="false">
      <c r="A237" s="10" t="n">
        <v>50.2128281593323</v>
      </c>
      <c r="B237" s="11" t="n">
        <v>220</v>
      </c>
      <c r="C237" s="12" t="n">
        <f aca="false">B237*'Correction factors'!$B$7</f>
        <v>1064.58</v>
      </c>
      <c r="D237" s="13" t="n">
        <v>5.017033</v>
      </c>
      <c r="E237" s="14" t="n">
        <v>48</v>
      </c>
      <c r="F237" s="10" t="n">
        <f aca="false">E237/'Correction factors'!$B$10</f>
        <v>3.8712</v>
      </c>
      <c r="G237" s="11" t="n">
        <v>362</v>
      </c>
    </row>
    <row r="238" customFormat="false" ht="15" hidden="false" customHeight="false" outlineLevel="0" collapsed="false">
      <c r="A238" s="10" t="n">
        <v>50.2128281593323</v>
      </c>
      <c r="B238" s="11" t="n">
        <v>200</v>
      </c>
      <c r="C238" s="12" t="n">
        <f aca="false">B238*'Correction factors'!$B$7</f>
        <v>967.8</v>
      </c>
      <c r="D238" s="13" t="n">
        <v>5.017033</v>
      </c>
      <c r="E238" s="14" t="n">
        <v>56</v>
      </c>
      <c r="F238" s="10" t="n">
        <f aca="false">E238/'Correction factors'!$B$10</f>
        <v>4.5164</v>
      </c>
      <c r="G238" s="11" t="n">
        <v>360</v>
      </c>
    </row>
    <row r="239" customFormat="false" ht="15" hidden="false" customHeight="false" outlineLevel="0" collapsed="false">
      <c r="A239" s="10" t="n">
        <v>50.6687824726105</v>
      </c>
      <c r="B239" s="11" t="n">
        <v>200</v>
      </c>
      <c r="C239" s="12" t="n">
        <f aca="false">B239*'Correction factors'!$B$7</f>
        <v>967.8</v>
      </c>
      <c r="D239" s="13" t="n">
        <v>5.017033</v>
      </c>
      <c r="E239" s="14" t="n">
        <v>48</v>
      </c>
      <c r="F239" s="10" t="n">
        <f aca="false">E239/'Correction factors'!$B$10</f>
        <v>3.8712</v>
      </c>
      <c r="G239" s="11" t="n">
        <v>360</v>
      </c>
    </row>
    <row r="240" customFormat="false" ht="15" hidden="false" customHeight="false" outlineLevel="0" collapsed="false">
      <c r="A240" s="10" t="n">
        <v>50.6687824726105</v>
      </c>
      <c r="B240" s="11" t="n">
        <v>200</v>
      </c>
      <c r="C240" s="12" t="n">
        <f aca="false">B240*'Correction factors'!$B$7</f>
        <v>967.8</v>
      </c>
      <c r="D240" s="13" t="n">
        <v>4.997389</v>
      </c>
      <c r="E240" s="14" t="n">
        <v>56</v>
      </c>
      <c r="F240" s="10" t="n">
        <f aca="false">E240/'Correction factors'!$B$10</f>
        <v>4.5164</v>
      </c>
      <c r="G240" s="11" t="n">
        <v>360</v>
      </c>
    </row>
    <row r="241" customFormat="false" ht="15" hidden="false" customHeight="false" outlineLevel="0" collapsed="false">
      <c r="A241" s="10" t="n">
        <v>51.0990393161774</v>
      </c>
      <c r="B241" s="11" t="n">
        <v>220</v>
      </c>
      <c r="C241" s="12" t="n">
        <f aca="false">B241*'Correction factors'!$B$7</f>
        <v>1064.58</v>
      </c>
      <c r="D241" s="13" t="n">
        <v>4.997389</v>
      </c>
      <c r="E241" s="14" t="n">
        <v>48</v>
      </c>
      <c r="F241" s="10" t="n">
        <f aca="false">E241/'Correction factors'!$B$10</f>
        <v>3.8712</v>
      </c>
      <c r="G241" s="11" t="n">
        <v>362</v>
      </c>
    </row>
    <row r="242" customFormat="false" ht="15" hidden="false" customHeight="false" outlineLevel="0" collapsed="false">
      <c r="A242" s="10" t="n">
        <v>51.0990393161774</v>
      </c>
      <c r="B242" s="11" t="n">
        <v>200</v>
      </c>
      <c r="C242" s="12" t="n">
        <f aca="false">B242*'Correction factors'!$B$7</f>
        <v>967.8</v>
      </c>
      <c r="D242" s="13" t="n">
        <v>4.997389</v>
      </c>
      <c r="E242" s="14" t="n">
        <v>48</v>
      </c>
      <c r="F242" s="10" t="n">
        <f aca="false">E242/'Correction factors'!$B$10</f>
        <v>3.8712</v>
      </c>
      <c r="G242" s="11" t="n">
        <v>360</v>
      </c>
    </row>
    <row r="243" customFormat="false" ht="15" hidden="false" customHeight="false" outlineLevel="0" collapsed="false">
      <c r="A243" s="10" t="n">
        <v>51.0990393161774</v>
      </c>
      <c r="B243" s="11" t="n">
        <v>200</v>
      </c>
      <c r="C243" s="12" t="n">
        <f aca="false">B243*'Correction factors'!$B$7</f>
        <v>967.8</v>
      </c>
      <c r="D243" s="13" t="n">
        <v>4.997389</v>
      </c>
      <c r="E243" s="14" t="n">
        <v>56</v>
      </c>
      <c r="F243" s="10" t="n">
        <f aca="false">E243/'Correction factors'!$B$10</f>
        <v>4.5164</v>
      </c>
      <c r="G243" s="11" t="n">
        <v>360</v>
      </c>
    </row>
    <row r="244" customFormat="false" ht="15" hidden="false" customHeight="false" outlineLevel="0" collapsed="false">
      <c r="A244" s="10" t="n">
        <v>51.5931944847107</v>
      </c>
      <c r="B244" s="11" t="n">
        <v>200</v>
      </c>
      <c r="C244" s="12" t="n">
        <f aca="false">B244*'Correction factors'!$B$7</f>
        <v>967.8</v>
      </c>
      <c r="D244" s="13" t="n">
        <v>4.997389</v>
      </c>
      <c r="E244" s="14" t="n">
        <v>48</v>
      </c>
      <c r="F244" s="10" t="n">
        <f aca="false">E244/'Correction factors'!$B$10</f>
        <v>3.8712</v>
      </c>
      <c r="G244" s="11" t="n">
        <v>360</v>
      </c>
    </row>
    <row r="245" customFormat="false" ht="15" hidden="false" customHeight="false" outlineLevel="0" collapsed="false">
      <c r="A245" s="10" t="n">
        <v>51.5931944847107</v>
      </c>
      <c r="B245" s="11" t="n">
        <v>180</v>
      </c>
      <c r="C245" s="12" t="n">
        <f aca="false">B245*'Correction factors'!$B$7</f>
        <v>871.02</v>
      </c>
      <c r="D245" s="13" t="n">
        <v>4.987567</v>
      </c>
      <c r="E245" s="14" t="n">
        <v>48</v>
      </c>
      <c r="F245" s="10" t="n">
        <f aca="false">E245/'Correction factors'!$B$10</f>
        <v>3.8712</v>
      </c>
      <c r="G245" s="11" t="n">
        <v>362</v>
      </c>
    </row>
    <row r="246" customFormat="false" ht="15" hidden="false" customHeight="false" outlineLevel="0" collapsed="false">
      <c r="A246" s="10" t="n">
        <v>52.0110034942627</v>
      </c>
      <c r="B246" s="11" t="n">
        <v>200</v>
      </c>
      <c r="C246" s="12" t="n">
        <f aca="false">B246*'Correction factors'!$B$7</f>
        <v>967.8</v>
      </c>
      <c r="D246" s="13" t="n">
        <v>4.987567</v>
      </c>
      <c r="E246" s="14" t="n">
        <v>48</v>
      </c>
      <c r="F246" s="10" t="n">
        <f aca="false">E246/'Correction factors'!$B$10</f>
        <v>3.8712</v>
      </c>
      <c r="G246" s="11" t="n">
        <v>364</v>
      </c>
    </row>
    <row r="247" customFormat="false" ht="15" hidden="false" customHeight="false" outlineLevel="0" collapsed="false">
      <c r="A247" s="10" t="n">
        <v>52.0110034942627</v>
      </c>
      <c r="B247" s="11" t="n">
        <v>200</v>
      </c>
      <c r="C247" s="12" t="n">
        <f aca="false">B247*'Correction factors'!$B$7</f>
        <v>967.8</v>
      </c>
      <c r="D247" s="13" t="n">
        <v>4.977746</v>
      </c>
      <c r="E247" s="14" t="n">
        <v>56</v>
      </c>
      <c r="F247" s="10" t="n">
        <f aca="false">E247/'Correction factors'!$B$10</f>
        <v>4.5164</v>
      </c>
      <c r="G247" s="11" t="n">
        <v>363</v>
      </c>
    </row>
    <row r="248" customFormat="false" ht="15" hidden="false" customHeight="false" outlineLevel="0" collapsed="false">
      <c r="A248" s="10" t="n">
        <v>52.4528872966766</v>
      </c>
      <c r="B248" s="11" t="n">
        <v>200</v>
      </c>
      <c r="C248" s="12" t="n">
        <f aca="false">B248*'Correction factors'!$B$7</f>
        <v>967.8</v>
      </c>
      <c r="D248" s="13" t="n">
        <v>4.987567</v>
      </c>
      <c r="E248" s="14" t="n">
        <v>48</v>
      </c>
      <c r="F248" s="10" t="n">
        <f aca="false">E248/'Correction factors'!$B$10</f>
        <v>3.8712</v>
      </c>
      <c r="G248" s="11" t="n">
        <v>362</v>
      </c>
    </row>
    <row r="249" customFormat="false" ht="15" hidden="false" customHeight="false" outlineLevel="0" collapsed="false">
      <c r="A249" s="10" t="n">
        <v>52.4528872966766</v>
      </c>
      <c r="B249" s="11" t="n">
        <v>200</v>
      </c>
      <c r="C249" s="12" t="n">
        <f aca="false">B249*'Correction factors'!$B$7</f>
        <v>967.8</v>
      </c>
      <c r="D249" s="13" t="n">
        <v>4.967924</v>
      </c>
      <c r="E249" s="14" t="n">
        <v>56</v>
      </c>
      <c r="F249" s="10" t="n">
        <f aca="false">E249/'Correction factors'!$B$10</f>
        <v>4.5164</v>
      </c>
      <c r="G249" s="11" t="n">
        <v>362</v>
      </c>
    </row>
    <row r="250" customFormat="false" ht="15" hidden="false" customHeight="false" outlineLevel="0" collapsed="false">
      <c r="A250" s="10" t="n">
        <v>52.8732504844666</v>
      </c>
      <c r="B250" s="11" t="n">
        <v>200</v>
      </c>
      <c r="C250" s="12" t="n">
        <f aca="false">B250*'Correction factors'!$B$7</f>
        <v>967.8</v>
      </c>
      <c r="D250" s="13" t="n">
        <v>4.967924</v>
      </c>
      <c r="E250" s="14" t="n">
        <v>48</v>
      </c>
      <c r="F250" s="10" t="n">
        <f aca="false">E250/'Correction factors'!$B$10</f>
        <v>3.8712</v>
      </c>
      <c r="G250" s="11" t="n">
        <v>362</v>
      </c>
    </row>
    <row r="251" customFormat="false" ht="15" hidden="false" customHeight="false" outlineLevel="0" collapsed="false">
      <c r="A251" s="10" t="n">
        <v>52.8732504844666</v>
      </c>
      <c r="B251" s="11" t="n">
        <v>200</v>
      </c>
      <c r="C251" s="12" t="n">
        <f aca="false">B251*'Correction factors'!$B$7</f>
        <v>967.8</v>
      </c>
      <c r="D251" s="13" t="n">
        <v>4.958103</v>
      </c>
      <c r="E251" s="14" t="n">
        <v>48</v>
      </c>
      <c r="F251" s="10" t="n">
        <f aca="false">E251/'Correction factors'!$B$10</f>
        <v>3.8712</v>
      </c>
      <c r="G251" s="11" t="n">
        <v>362</v>
      </c>
    </row>
    <row r="252" customFormat="false" ht="15" hidden="false" customHeight="false" outlineLevel="0" collapsed="false">
      <c r="A252" s="10" t="n">
        <v>53.2911252975464</v>
      </c>
      <c r="B252" s="11" t="n">
        <v>200</v>
      </c>
      <c r="C252" s="12" t="n">
        <f aca="false">B252*'Correction factors'!$B$7</f>
        <v>967.8</v>
      </c>
      <c r="D252" s="13" t="n">
        <v>4.938459</v>
      </c>
      <c r="E252" s="14" t="n">
        <v>56</v>
      </c>
      <c r="F252" s="10" t="n">
        <f aca="false">E252/'Correction factors'!$B$10</f>
        <v>4.5164</v>
      </c>
      <c r="G252" s="11" t="n">
        <v>362</v>
      </c>
    </row>
    <row r="253" customFormat="false" ht="15" hidden="false" customHeight="false" outlineLevel="0" collapsed="false">
      <c r="A253" s="10" t="n">
        <v>53.2911252975464</v>
      </c>
      <c r="B253" s="11" t="n">
        <v>220</v>
      </c>
      <c r="C253" s="12" t="n">
        <f aca="false">B253*'Correction factors'!$B$7</f>
        <v>1064.58</v>
      </c>
      <c r="D253" s="13" t="n">
        <v>4.938459</v>
      </c>
      <c r="E253" s="14" t="n">
        <v>48</v>
      </c>
      <c r="F253" s="10" t="n">
        <f aca="false">E253/'Correction factors'!$B$10</f>
        <v>3.8712</v>
      </c>
      <c r="G253" s="11" t="n">
        <v>362</v>
      </c>
    </row>
    <row r="254" customFormat="false" ht="15" hidden="false" customHeight="false" outlineLevel="0" collapsed="false">
      <c r="A254" s="10" t="n">
        <v>53.723165512085</v>
      </c>
      <c r="B254" s="11" t="n">
        <v>200</v>
      </c>
      <c r="C254" s="12" t="n">
        <f aca="false">B254*'Correction factors'!$B$7</f>
        <v>967.8</v>
      </c>
      <c r="D254" s="13" t="n">
        <v>4.928638</v>
      </c>
      <c r="E254" s="14" t="n">
        <v>56</v>
      </c>
      <c r="F254" s="10" t="n">
        <f aca="false">E254/'Correction factors'!$B$10</f>
        <v>4.5164</v>
      </c>
      <c r="G254" s="11" t="n">
        <v>360</v>
      </c>
    </row>
    <row r="255" customFormat="false" ht="15" hidden="false" customHeight="false" outlineLevel="0" collapsed="false">
      <c r="A255" s="10" t="n">
        <v>53.723165512085</v>
      </c>
      <c r="B255" s="11" t="n">
        <v>200</v>
      </c>
      <c r="C255" s="12" t="n">
        <f aca="false">B255*'Correction factors'!$B$7</f>
        <v>967.8</v>
      </c>
      <c r="D255" s="13" t="n">
        <v>4.938459</v>
      </c>
      <c r="E255" s="14" t="n">
        <v>48</v>
      </c>
      <c r="F255" s="10" t="n">
        <f aca="false">E255/'Correction factors'!$B$10</f>
        <v>3.8712</v>
      </c>
      <c r="G255" s="11" t="n">
        <v>360</v>
      </c>
    </row>
    <row r="256" customFormat="false" ht="15" hidden="false" customHeight="false" outlineLevel="0" collapsed="false">
      <c r="A256" s="10" t="n">
        <v>54.161365032196</v>
      </c>
      <c r="B256" s="11" t="n">
        <v>180</v>
      </c>
      <c r="C256" s="12" t="n">
        <f aca="false">B256*'Correction factors'!$B$7</f>
        <v>871.02</v>
      </c>
      <c r="D256" s="13" t="n">
        <v>4.938459</v>
      </c>
      <c r="E256" s="14" t="n">
        <v>48</v>
      </c>
      <c r="F256" s="10" t="n">
        <f aca="false">E256/'Correction factors'!$B$10</f>
        <v>3.8712</v>
      </c>
      <c r="G256" s="11" t="n">
        <v>360</v>
      </c>
    </row>
    <row r="257" customFormat="false" ht="15" hidden="false" customHeight="false" outlineLevel="0" collapsed="false">
      <c r="A257" s="10" t="n">
        <v>54.161365032196</v>
      </c>
      <c r="B257" s="11" t="n">
        <v>180</v>
      </c>
      <c r="C257" s="12" t="n">
        <f aca="false">B257*'Correction factors'!$B$7</f>
        <v>871.02</v>
      </c>
      <c r="D257" s="13" t="n">
        <v>4.928638</v>
      </c>
      <c r="E257" s="14" t="n">
        <v>48</v>
      </c>
      <c r="F257" s="10" t="n">
        <f aca="false">E257/'Correction factors'!$B$10</f>
        <v>3.8712</v>
      </c>
      <c r="G257" s="11" t="n">
        <v>362</v>
      </c>
    </row>
    <row r="258" customFormat="false" ht="15" hidden="false" customHeight="false" outlineLevel="0" collapsed="false">
      <c r="A258" s="10" t="n">
        <v>54.5869283676148</v>
      </c>
      <c r="B258" s="11" t="n">
        <v>200</v>
      </c>
      <c r="C258" s="12" t="n">
        <f aca="false">B258*'Correction factors'!$B$7</f>
        <v>967.8</v>
      </c>
      <c r="D258" s="13" t="n">
        <v>4.928638</v>
      </c>
      <c r="E258" s="14" t="n">
        <v>48</v>
      </c>
      <c r="F258" s="10" t="n">
        <f aca="false">E258/'Correction factors'!$B$10</f>
        <v>3.8712</v>
      </c>
      <c r="G258" s="11" t="n">
        <v>364</v>
      </c>
    </row>
    <row r="259" customFormat="false" ht="15" hidden="false" customHeight="false" outlineLevel="0" collapsed="false">
      <c r="A259" s="10" t="n">
        <v>54.5869283676148</v>
      </c>
      <c r="B259" s="11" t="n">
        <v>200</v>
      </c>
      <c r="C259" s="12" t="n">
        <f aca="false">B259*'Correction factors'!$B$7</f>
        <v>967.8</v>
      </c>
      <c r="D259" s="13" t="n">
        <v>4.928638</v>
      </c>
      <c r="E259" s="14" t="n">
        <v>56</v>
      </c>
      <c r="F259" s="10" t="n">
        <f aca="false">E259/'Correction factors'!$B$10</f>
        <v>4.5164</v>
      </c>
      <c r="G259" s="11" t="n">
        <v>364</v>
      </c>
    </row>
    <row r="260" customFormat="false" ht="15" hidden="false" customHeight="false" outlineLevel="0" collapsed="false">
      <c r="A260" s="10" t="n">
        <v>55.0583190917969</v>
      </c>
      <c r="B260" s="11" t="n">
        <v>200</v>
      </c>
      <c r="C260" s="12" t="n">
        <f aca="false">B260*'Correction factors'!$B$7</f>
        <v>967.8</v>
      </c>
      <c r="D260" s="13" t="n">
        <v>4.918817</v>
      </c>
      <c r="E260" s="14" t="n">
        <v>48</v>
      </c>
      <c r="F260" s="10" t="n">
        <f aca="false">E260/'Correction factors'!$B$10</f>
        <v>3.8712</v>
      </c>
      <c r="G260" s="11" t="n">
        <v>362</v>
      </c>
    </row>
    <row r="261" customFormat="false" ht="15" hidden="false" customHeight="false" outlineLevel="0" collapsed="false">
      <c r="A261" s="10" t="n">
        <v>55.0583190917969</v>
      </c>
      <c r="B261" s="11" t="n">
        <v>200</v>
      </c>
      <c r="C261" s="12" t="n">
        <f aca="false">B261*'Correction factors'!$B$7</f>
        <v>967.8</v>
      </c>
      <c r="D261" s="13" t="n">
        <v>4.908995</v>
      </c>
      <c r="E261" s="14" t="n">
        <v>56</v>
      </c>
      <c r="F261" s="10" t="n">
        <f aca="false">E261/'Correction factors'!$B$10</f>
        <v>4.5164</v>
      </c>
      <c r="G261" s="11" t="n">
        <v>362</v>
      </c>
    </row>
    <row r="262" customFormat="false" ht="15" hidden="false" customHeight="false" outlineLevel="0" collapsed="false">
      <c r="A262" s="10" t="n">
        <v>55.0583190917969</v>
      </c>
      <c r="B262" s="11" t="n">
        <v>200</v>
      </c>
      <c r="C262" s="12" t="n">
        <f aca="false">B262*'Correction factors'!$B$7</f>
        <v>967.8</v>
      </c>
      <c r="D262" s="13" t="n">
        <v>4.908995</v>
      </c>
      <c r="E262" s="14" t="n">
        <v>48</v>
      </c>
      <c r="F262" s="10" t="n">
        <f aca="false">E262/'Correction factors'!$B$10</f>
        <v>3.8712</v>
      </c>
      <c r="G262" s="11" t="n">
        <v>362</v>
      </c>
    </row>
    <row r="263" customFormat="false" ht="15" hidden="false" customHeight="false" outlineLevel="0" collapsed="false">
      <c r="A263" s="10" t="n">
        <v>55.5282373428345</v>
      </c>
      <c r="B263" s="11" t="n">
        <v>200</v>
      </c>
      <c r="C263" s="12" t="n">
        <f aca="false">B263*'Correction factors'!$B$7</f>
        <v>967.8</v>
      </c>
      <c r="D263" s="13" t="n">
        <v>4.899173</v>
      </c>
      <c r="E263" s="14" t="n">
        <v>56</v>
      </c>
      <c r="F263" s="10" t="n">
        <f aca="false">E263/'Correction factors'!$B$10</f>
        <v>4.5164</v>
      </c>
      <c r="G263" s="11" t="n">
        <v>362</v>
      </c>
    </row>
    <row r="264" customFormat="false" ht="15" hidden="false" customHeight="false" outlineLevel="0" collapsed="false">
      <c r="A264" s="10" t="n">
        <v>55.5282373428345</v>
      </c>
      <c r="B264" s="11" t="n">
        <v>200</v>
      </c>
      <c r="C264" s="12" t="n">
        <f aca="false">B264*'Correction factors'!$B$7</f>
        <v>967.8</v>
      </c>
      <c r="D264" s="13" t="n">
        <v>4.908995</v>
      </c>
      <c r="E264" s="14" t="n">
        <v>48</v>
      </c>
      <c r="F264" s="10" t="n">
        <f aca="false">E264/'Correction factors'!$B$10</f>
        <v>3.8712</v>
      </c>
      <c r="G264" s="11" t="n">
        <v>362</v>
      </c>
    </row>
    <row r="265" customFormat="false" ht="15" hidden="false" customHeight="false" outlineLevel="0" collapsed="false">
      <c r="A265" s="10" t="n">
        <v>55.9455900192261</v>
      </c>
      <c r="B265" s="11" t="n">
        <v>180</v>
      </c>
      <c r="C265" s="12" t="n">
        <f aca="false">B265*'Correction factors'!$B$7</f>
        <v>871.02</v>
      </c>
      <c r="D265" s="13" t="n">
        <v>4.889352</v>
      </c>
      <c r="E265" s="14" t="n">
        <v>56</v>
      </c>
      <c r="F265" s="10" t="n">
        <f aca="false">E265/'Correction factors'!$B$10</f>
        <v>4.5164</v>
      </c>
      <c r="G265" s="11" t="n">
        <v>362</v>
      </c>
    </row>
    <row r="266" customFormat="false" ht="15" hidden="false" customHeight="false" outlineLevel="0" collapsed="false">
      <c r="A266" s="10" t="n">
        <v>55.9455900192261</v>
      </c>
      <c r="B266" s="11" t="n">
        <v>200</v>
      </c>
      <c r="C266" s="12" t="n">
        <f aca="false">B266*'Correction factors'!$B$7</f>
        <v>967.8</v>
      </c>
      <c r="D266" s="13" t="n">
        <v>4.889352</v>
      </c>
      <c r="E266" s="14" t="n">
        <v>48</v>
      </c>
      <c r="F266" s="10" t="n">
        <f aca="false">E266/'Correction factors'!$B$10</f>
        <v>3.8712</v>
      </c>
      <c r="G266" s="11" t="n">
        <v>362</v>
      </c>
    </row>
    <row r="267" customFormat="false" ht="15" hidden="false" customHeight="false" outlineLevel="0" collapsed="false">
      <c r="A267" s="10" t="n">
        <v>56.3629848957062</v>
      </c>
      <c r="B267" s="11" t="n">
        <v>200</v>
      </c>
      <c r="C267" s="12" t="n">
        <f aca="false">B267*'Correction factors'!$B$7</f>
        <v>967.8</v>
      </c>
      <c r="D267" s="13" t="n">
        <v>4.87953</v>
      </c>
      <c r="E267" s="14" t="n">
        <v>48</v>
      </c>
      <c r="F267" s="10" t="n">
        <f aca="false">E267/'Correction factors'!$B$10</f>
        <v>3.8712</v>
      </c>
      <c r="G267" s="11" t="n">
        <v>362</v>
      </c>
    </row>
    <row r="268" customFormat="false" ht="15" hidden="false" customHeight="false" outlineLevel="0" collapsed="false">
      <c r="A268" s="10" t="n">
        <v>56.3629848957062</v>
      </c>
      <c r="B268" s="11" t="n">
        <v>200</v>
      </c>
      <c r="C268" s="12" t="n">
        <f aca="false">B268*'Correction factors'!$B$7</f>
        <v>967.8</v>
      </c>
      <c r="D268" s="13" t="n">
        <v>4.87953</v>
      </c>
      <c r="E268" s="14" t="n">
        <v>56</v>
      </c>
      <c r="F268" s="10" t="n">
        <f aca="false">E268/'Correction factors'!$B$10</f>
        <v>4.5164</v>
      </c>
      <c r="G268" s="11" t="n">
        <v>362</v>
      </c>
    </row>
    <row r="269" customFormat="false" ht="15" hidden="false" customHeight="false" outlineLevel="0" collapsed="false">
      <c r="A269" s="10" t="n">
        <v>56.7945754528046</v>
      </c>
      <c r="B269" s="11" t="n">
        <v>180</v>
      </c>
      <c r="C269" s="12" t="n">
        <f aca="false">B269*'Correction factors'!$B$7</f>
        <v>871.02</v>
      </c>
      <c r="D269" s="13" t="n">
        <v>4.889352</v>
      </c>
      <c r="E269" s="14" t="n">
        <v>48</v>
      </c>
      <c r="F269" s="10" t="n">
        <f aca="false">E269/'Correction factors'!$B$10</f>
        <v>3.8712</v>
      </c>
      <c r="G269" s="11" t="n">
        <v>362</v>
      </c>
    </row>
    <row r="270" customFormat="false" ht="15" hidden="false" customHeight="false" outlineLevel="0" collapsed="false">
      <c r="A270" s="10" t="n">
        <v>56.7945754528046</v>
      </c>
      <c r="B270" s="11" t="n">
        <v>200</v>
      </c>
      <c r="C270" s="12" t="n">
        <f aca="false">B270*'Correction factors'!$B$7</f>
        <v>967.8</v>
      </c>
      <c r="D270" s="13" t="n">
        <v>4.869708</v>
      </c>
      <c r="E270" s="14" t="n">
        <v>48</v>
      </c>
      <c r="F270" s="10" t="n">
        <f aca="false">E270/'Correction factors'!$B$10</f>
        <v>3.8712</v>
      </c>
      <c r="G270" s="11" t="n">
        <v>364</v>
      </c>
    </row>
    <row r="271" customFormat="false" ht="15" hidden="false" customHeight="false" outlineLevel="0" collapsed="false">
      <c r="A271" s="10" t="n">
        <v>57.2264831066132</v>
      </c>
      <c r="B271" s="11" t="n">
        <v>200</v>
      </c>
      <c r="C271" s="12" t="n">
        <f aca="false">B271*'Correction factors'!$B$7</f>
        <v>967.8</v>
      </c>
      <c r="D271" s="13" t="n">
        <v>4.869708</v>
      </c>
      <c r="E271" s="14" t="n">
        <v>56</v>
      </c>
      <c r="F271" s="10" t="n">
        <f aca="false">E271/'Correction factors'!$B$10</f>
        <v>4.5164</v>
      </c>
      <c r="G271" s="11" t="n">
        <v>362</v>
      </c>
    </row>
    <row r="272" customFormat="false" ht="15" hidden="false" customHeight="false" outlineLevel="0" collapsed="false">
      <c r="A272" s="10" t="n">
        <v>57.2264831066132</v>
      </c>
      <c r="B272" s="11" t="n">
        <v>200</v>
      </c>
      <c r="C272" s="12" t="n">
        <f aca="false">B272*'Correction factors'!$B$7</f>
        <v>967.8</v>
      </c>
      <c r="D272" s="13" t="n">
        <v>4.859887</v>
      </c>
      <c r="E272" s="14" t="n">
        <v>48</v>
      </c>
      <c r="F272" s="10" t="n">
        <f aca="false">E272/'Correction factors'!$B$10</f>
        <v>3.8712</v>
      </c>
      <c r="G272" s="11" t="n">
        <v>362</v>
      </c>
    </row>
    <row r="273" customFormat="false" ht="15" hidden="false" customHeight="false" outlineLevel="0" collapsed="false">
      <c r="A273" s="10" t="n">
        <v>57.658632516861</v>
      </c>
      <c r="B273" s="11" t="n">
        <v>180</v>
      </c>
      <c r="C273" s="12" t="n">
        <f aca="false">B273*'Correction factors'!$B$7</f>
        <v>871.02</v>
      </c>
      <c r="D273" s="13" t="n">
        <v>4.850065</v>
      </c>
      <c r="E273" s="14" t="n">
        <v>56</v>
      </c>
      <c r="F273" s="10" t="n">
        <f aca="false">E273/'Correction factors'!$B$10</f>
        <v>4.5164</v>
      </c>
      <c r="G273" s="11" t="n">
        <v>363</v>
      </c>
    </row>
    <row r="274" customFormat="false" ht="15" hidden="false" customHeight="false" outlineLevel="0" collapsed="false">
      <c r="A274" s="10" t="n">
        <v>57.658632516861</v>
      </c>
      <c r="B274" s="11" t="n">
        <v>180</v>
      </c>
      <c r="C274" s="12" t="n">
        <f aca="false">B274*'Correction factors'!$B$7</f>
        <v>871.02</v>
      </c>
      <c r="D274" s="13" t="n">
        <v>4.850065</v>
      </c>
      <c r="E274" s="14" t="n">
        <v>48</v>
      </c>
      <c r="F274" s="10" t="n">
        <f aca="false">E274/'Correction factors'!$B$10</f>
        <v>3.8712</v>
      </c>
      <c r="G274" s="11" t="n">
        <v>364</v>
      </c>
    </row>
    <row r="275" customFormat="false" ht="15" hidden="false" customHeight="false" outlineLevel="0" collapsed="false">
      <c r="A275" s="10" t="n">
        <v>58.0921382904053</v>
      </c>
      <c r="B275" s="11" t="n">
        <v>180</v>
      </c>
      <c r="C275" s="12" t="n">
        <f aca="false">B275*'Correction factors'!$B$7</f>
        <v>871.02</v>
      </c>
      <c r="D275" s="13" t="n">
        <v>4.840244</v>
      </c>
      <c r="E275" s="14" t="n">
        <v>56</v>
      </c>
      <c r="F275" s="10" t="n">
        <f aca="false">E275/'Correction factors'!$B$10</f>
        <v>4.5164</v>
      </c>
      <c r="G275" s="11" t="n">
        <v>365</v>
      </c>
    </row>
    <row r="276" customFormat="false" ht="15" hidden="false" customHeight="false" outlineLevel="0" collapsed="false">
      <c r="A276" s="10" t="n">
        <v>58.0921382904053</v>
      </c>
      <c r="B276" s="11" t="n">
        <v>220</v>
      </c>
      <c r="C276" s="12" t="n">
        <f aca="false">B276*'Correction factors'!$B$7</f>
        <v>1064.58</v>
      </c>
      <c r="D276" s="13" t="n">
        <v>4.840244</v>
      </c>
      <c r="E276" s="14" t="n">
        <v>48</v>
      </c>
      <c r="F276" s="10" t="n">
        <f aca="false">E276/'Correction factors'!$B$10</f>
        <v>3.8712</v>
      </c>
      <c r="G276" s="11" t="n">
        <v>365</v>
      </c>
    </row>
    <row r="277" customFormat="false" ht="15" hidden="false" customHeight="false" outlineLevel="0" collapsed="false">
      <c r="A277" s="10" t="n">
        <v>58.5264208316803</v>
      </c>
      <c r="B277" s="11" t="n">
        <v>200</v>
      </c>
      <c r="C277" s="12" t="n">
        <f aca="false">B277*'Correction factors'!$B$7</f>
        <v>967.8</v>
      </c>
      <c r="D277" s="13" t="n">
        <v>4.820601</v>
      </c>
      <c r="E277" s="14" t="n">
        <v>56</v>
      </c>
      <c r="F277" s="10" t="n">
        <f aca="false">E277/'Correction factors'!$B$10</f>
        <v>4.5164</v>
      </c>
      <c r="G277" s="11" t="n">
        <v>362</v>
      </c>
    </row>
    <row r="278" customFormat="false" ht="15" hidden="false" customHeight="false" outlineLevel="0" collapsed="false">
      <c r="A278" s="10" t="n">
        <v>58.5264208316803</v>
      </c>
      <c r="B278" s="11" t="n">
        <v>200</v>
      </c>
      <c r="C278" s="12" t="n">
        <f aca="false">B278*'Correction factors'!$B$7</f>
        <v>967.8</v>
      </c>
      <c r="D278" s="13" t="n">
        <v>4.820601</v>
      </c>
      <c r="E278" s="14" t="n">
        <v>56</v>
      </c>
      <c r="F278" s="10" t="n">
        <f aca="false">E278/'Correction factors'!$B$10</f>
        <v>4.5164</v>
      </c>
      <c r="G278" s="11" t="n">
        <v>364</v>
      </c>
    </row>
    <row r="279" customFormat="false" ht="15" hidden="false" customHeight="false" outlineLevel="0" collapsed="false">
      <c r="A279" s="10" t="n">
        <v>58.9585134983063</v>
      </c>
      <c r="B279" s="11" t="n">
        <v>200</v>
      </c>
      <c r="C279" s="12" t="n">
        <f aca="false">B279*'Correction factors'!$B$7</f>
        <v>967.8</v>
      </c>
      <c r="D279" s="13" t="n">
        <v>4.820601</v>
      </c>
      <c r="E279" s="14" t="n">
        <v>48</v>
      </c>
      <c r="F279" s="10" t="n">
        <f aca="false">E279/'Correction factors'!$B$10</f>
        <v>3.8712</v>
      </c>
      <c r="G279" s="11" t="n">
        <v>363</v>
      </c>
    </row>
    <row r="280" customFormat="false" ht="15" hidden="false" customHeight="false" outlineLevel="0" collapsed="false">
      <c r="A280" s="10" t="n">
        <v>58.9585134983063</v>
      </c>
      <c r="B280" s="11" t="n">
        <v>180</v>
      </c>
      <c r="C280" s="12" t="n">
        <f aca="false">B280*'Correction factors'!$B$7</f>
        <v>871.02</v>
      </c>
      <c r="D280" s="13" t="n">
        <v>4.810779</v>
      </c>
      <c r="E280" s="14" t="n">
        <v>56</v>
      </c>
      <c r="F280" s="10" t="n">
        <f aca="false">E280/'Correction factors'!$B$10</f>
        <v>4.5164</v>
      </c>
      <c r="G280" s="11" t="n">
        <v>364</v>
      </c>
    </row>
    <row r="281" customFormat="false" ht="15" hidden="false" customHeight="false" outlineLevel="0" collapsed="false">
      <c r="A281" s="10" t="n">
        <v>59.4229984283447</v>
      </c>
      <c r="B281" s="11" t="n">
        <v>180</v>
      </c>
      <c r="C281" s="12" t="n">
        <f aca="false">B281*'Correction factors'!$B$7</f>
        <v>871.02</v>
      </c>
      <c r="D281" s="13" t="n">
        <v>4.810779</v>
      </c>
      <c r="E281" s="14" t="n">
        <v>48</v>
      </c>
      <c r="F281" s="10" t="n">
        <f aca="false">E281/'Correction factors'!$B$10</f>
        <v>3.8712</v>
      </c>
      <c r="G281" s="11" t="n">
        <v>365</v>
      </c>
    </row>
    <row r="282" customFormat="false" ht="15" hidden="false" customHeight="false" outlineLevel="0" collapsed="false">
      <c r="A282" s="10" t="n">
        <v>59.4229984283447</v>
      </c>
      <c r="B282" s="11" t="n">
        <v>200</v>
      </c>
      <c r="C282" s="12" t="n">
        <f aca="false">B282*'Correction factors'!$B$7</f>
        <v>967.8</v>
      </c>
      <c r="D282" s="13" t="n">
        <v>4.800957</v>
      </c>
      <c r="E282" s="14" t="n">
        <v>56</v>
      </c>
      <c r="F282" s="10" t="n">
        <f aca="false">E282/'Correction factors'!$B$10</f>
        <v>4.5164</v>
      </c>
      <c r="G282" s="11" t="n">
        <v>365</v>
      </c>
    </row>
    <row r="283" customFormat="false" ht="15" hidden="false" customHeight="false" outlineLevel="0" collapsed="false">
      <c r="A283" s="10" t="n">
        <v>59.4229984283447</v>
      </c>
      <c r="B283" s="11" t="n">
        <v>200</v>
      </c>
      <c r="C283" s="12" t="n">
        <f aca="false">B283*'Correction factors'!$B$7</f>
        <v>967.8</v>
      </c>
      <c r="D283" s="13" t="n">
        <v>4.791136</v>
      </c>
      <c r="E283" s="14" t="n">
        <v>56</v>
      </c>
      <c r="F283" s="10" t="n">
        <f aca="false">E283/'Correction factors'!$B$10</f>
        <v>4.5164</v>
      </c>
      <c r="G283" s="11" t="n">
        <v>365</v>
      </c>
    </row>
    <row r="284" customFormat="false" ht="15" hidden="false" customHeight="false" outlineLevel="0" collapsed="false">
      <c r="A284" s="10" t="n">
        <v>59.8909804821014</v>
      </c>
      <c r="B284" s="11" t="n">
        <v>200</v>
      </c>
      <c r="C284" s="12" t="n">
        <f aca="false">B284*'Correction factors'!$B$7</f>
        <v>967.8</v>
      </c>
      <c r="D284" s="13" t="n">
        <v>4.771492</v>
      </c>
      <c r="E284" s="14" t="n">
        <v>48</v>
      </c>
      <c r="F284" s="10" t="n">
        <f aca="false">E284/'Correction factors'!$B$10</f>
        <v>3.8712</v>
      </c>
      <c r="G284" s="11" t="n">
        <v>365</v>
      </c>
    </row>
    <row r="285" customFormat="false" ht="15" hidden="false" customHeight="false" outlineLevel="0" collapsed="false">
      <c r="A285" s="10" t="n">
        <v>59.8909804821014</v>
      </c>
      <c r="B285" s="11" t="n">
        <v>200</v>
      </c>
      <c r="C285" s="12" t="n">
        <f aca="false">B285*'Correction factors'!$B$7</f>
        <v>967.8</v>
      </c>
      <c r="D285" s="13" t="n">
        <v>4.771492</v>
      </c>
      <c r="E285" s="14" t="n">
        <v>56</v>
      </c>
      <c r="F285" s="10" t="n">
        <f aca="false">E285/'Correction factors'!$B$10</f>
        <v>4.5164</v>
      </c>
      <c r="G285" s="11" t="n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5"/>
    <col collapsed="false" customWidth="true" hidden="false" outlineLevel="0" max="6" min="5" style="0" width="20"/>
    <col collapsed="false" customWidth="true" hidden="false" outlineLevel="0" max="7" min="7" style="0" width="15"/>
  </cols>
  <sheetData>
    <row r="1" customFormat="false" ht="30" hidden="false" customHeight="tru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</row>
    <row r="2" customFormat="false" ht="15" hidden="false" customHeight="false" outlineLevel="0" collapsed="false">
      <c r="A2" s="10" t="n">
        <v>1.41009330749512</v>
      </c>
      <c r="B2" s="11" t="n">
        <v>0</v>
      </c>
      <c r="C2" s="12" t="n">
        <f aca="false">B2*'Correction factors'!$B$7</f>
        <v>0</v>
      </c>
      <c r="D2" s="13" t="n">
        <v>1.05893</v>
      </c>
      <c r="E2" s="14" t="n">
        <v>0</v>
      </c>
      <c r="F2" s="10" t="n">
        <f aca="false">E2/'Correction factors'!$B$10</f>
        <v>0</v>
      </c>
      <c r="G2" s="11" t="n">
        <v>509</v>
      </c>
    </row>
    <row r="3" customFormat="false" ht="15" hidden="false" customHeight="false" outlineLevel="0" collapsed="false">
      <c r="A3" s="10" t="n">
        <v>1.87389445304871</v>
      </c>
      <c r="B3" s="11" t="n">
        <v>0</v>
      </c>
      <c r="C3" s="12" t="n">
        <f aca="false">B3*'Correction factors'!$B$7</f>
        <v>0</v>
      </c>
      <c r="D3" s="13" t="n">
        <v>1.049108</v>
      </c>
      <c r="E3" s="14" t="n">
        <v>0</v>
      </c>
      <c r="F3" s="10" t="n">
        <f aca="false">E3/'Correction factors'!$B$10</f>
        <v>0</v>
      </c>
      <c r="G3" s="11" t="n">
        <v>237</v>
      </c>
    </row>
    <row r="4" customFormat="false" ht="15" hidden="false" customHeight="false" outlineLevel="0" collapsed="false">
      <c r="A4" s="10" t="n">
        <v>1.87389445304871</v>
      </c>
      <c r="B4" s="11" t="n">
        <v>0</v>
      </c>
      <c r="C4" s="12" t="n">
        <f aca="false">B4*'Correction factors'!$B$7</f>
        <v>0</v>
      </c>
      <c r="D4" s="13" t="n">
        <v>1.068751</v>
      </c>
      <c r="E4" s="14" t="n">
        <v>0</v>
      </c>
      <c r="F4" s="10" t="n">
        <f aca="false">E4/'Correction factors'!$B$10</f>
        <v>0</v>
      </c>
      <c r="G4" s="11" t="n">
        <v>241</v>
      </c>
    </row>
    <row r="5" customFormat="false" ht="15" hidden="false" customHeight="false" outlineLevel="0" collapsed="false">
      <c r="A5" s="10" t="n">
        <v>1.87389445304871</v>
      </c>
      <c r="B5" s="11" t="n">
        <v>0</v>
      </c>
      <c r="C5" s="12" t="n">
        <f aca="false">B5*'Correction factors'!$B$7</f>
        <v>0</v>
      </c>
      <c r="D5" s="13" t="n">
        <v>1.05893</v>
      </c>
      <c r="E5" s="14" t="n">
        <v>0</v>
      </c>
      <c r="F5" s="10" t="n">
        <f aca="false">E5/'Correction factors'!$B$10</f>
        <v>0</v>
      </c>
      <c r="G5" s="11" t="n">
        <v>248</v>
      </c>
    </row>
    <row r="6" customFormat="false" ht="15" hidden="false" customHeight="false" outlineLevel="0" collapsed="false">
      <c r="A6" s="10" t="n">
        <v>2.45420742034912</v>
      </c>
      <c r="B6" s="11" t="n">
        <v>0</v>
      </c>
      <c r="C6" s="12" t="n">
        <f aca="false">B6*'Correction factors'!$B$7</f>
        <v>0</v>
      </c>
      <c r="D6" s="13" t="n">
        <v>1.049108</v>
      </c>
      <c r="E6" s="14" t="n">
        <v>0</v>
      </c>
      <c r="F6" s="10" t="n">
        <f aca="false">E6/'Correction factors'!$B$10</f>
        <v>0</v>
      </c>
      <c r="G6" s="11" t="n">
        <v>253</v>
      </c>
    </row>
    <row r="7" customFormat="false" ht="15" hidden="false" customHeight="false" outlineLevel="0" collapsed="false">
      <c r="A7" s="10" t="n">
        <v>2.45420742034912</v>
      </c>
      <c r="B7" s="11" t="n">
        <v>0</v>
      </c>
      <c r="C7" s="12" t="n">
        <f aca="false">B7*'Correction factors'!$B$7</f>
        <v>0</v>
      </c>
      <c r="D7" s="13" t="n">
        <v>1.049108</v>
      </c>
      <c r="E7" s="14" t="n">
        <v>0</v>
      </c>
      <c r="F7" s="10" t="n">
        <f aca="false">E7/'Correction factors'!$B$10</f>
        <v>0</v>
      </c>
      <c r="G7" s="11" t="n">
        <v>255</v>
      </c>
    </row>
    <row r="8" customFormat="false" ht="15" hidden="false" customHeight="false" outlineLevel="0" collapsed="false">
      <c r="A8" s="10" t="n">
        <v>2.88364148139954</v>
      </c>
      <c r="B8" s="11" t="n">
        <v>0</v>
      </c>
      <c r="C8" s="12" t="n">
        <f aca="false">B8*'Correction factors'!$B$7</f>
        <v>0</v>
      </c>
      <c r="D8" s="13" t="n">
        <v>1.049108</v>
      </c>
      <c r="E8" s="14" t="n">
        <v>0</v>
      </c>
      <c r="F8" s="10" t="n">
        <f aca="false">E8/'Correction factors'!$B$10</f>
        <v>0</v>
      </c>
      <c r="G8" s="11" t="n">
        <v>265</v>
      </c>
    </row>
    <row r="9" customFormat="false" ht="15" hidden="false" customHeight="false" outlineLevel="0" collapsed="false">
      <c r="A9" s="10" t="n">
        <v>2.88364148139954</v>
      </c>
      <c r="B9" s="11" t="n">
        <v>0</v>
      </c>
      <c r="C9" s="12" t="n">
        <f aca="false">B9*'Correction factors'!$B$7</f>
        <v>0</v>
      </c>
      <c r="D9" s="13" t="n">
        <v>1.068751</v>
      </c>
      <c r="E9" s="14" t="n">
        <v>0</v>
      </c>
      <c r="F9" s="10" t="n">
        <f aca="false">E9/'Correction factors'!$B$10</f>
        <v>0</v>
      </c>
      <c r="G9" s="11" t="n">
        <v>268</v>
      </c>
    </row>
    <row r="10" customFormat="false" ht="15" hidden="false" customHeight="false" outlineLevel="0" collapsed="false">
      <c r="A10" s="10" t="n">
        <v>2.88364148139954</v>
      </c>
      <c r="B10" s="11" t="n">
        <v>0</v>
      </c>
      <c r="C10" s="12" t="n">
        <f aca="false">B10*'Correction factors'!$B$7</f>
        <v>0</v>
      </c>
      <c r="D10" s="13" t="n">
        <v>1.049108</v>
      </c>
      <c r="E10" s="14" t="n">
        <v>0</v>
      </c>
      <c r="F10" s="10" t="n">
        <f aca="false">E10/'Correction factors'!$B$10</f>
        <v>0</v>
      </c>
      <c r="G10" s="11" t="n">
        <v>278</v>
      </c>
    </row>
    <row r="11" customFormat="false" ht="15" hidden="false" customHeight="false" outlineLevel="0" collapsed="false">
      <c r="A11" s="10" t="n">
        <v>3.40555739402771</v>
      </c>
      <c r="B11" s="11" t="n">
        <v>0</v>
      </c>
      <c r="C11" s="12" t="n">
        <f aca="false">B11*'Correction factors'!$B$7</f>
        <v>0</v>
      </c>
      <c r="D11" s="13" t="n">
        <v>1.049108</v>
      </c>
      <c r="E11" s="14" t="n">
        <v>0</v>
      </c>
      <c r="F11" s="10" t="n">
        <f aca="false">E11/'Correction factors'!$B$10</f>
        <v>0</v>
      </c>
      <c r="G11" s="11" t="n">
        <v>285</v>
      </c>
    </row>
    <row r="12" customFormat="false" ht="15" hidden="false" customHeight="false" outlineLevel="0" collapsed="false">
      <c r="A12" s="10" t="n">
        <v>3.40555739402771</v>
      </c>
      <c r="B12" s="11" t="n">
        <v>0</v>
      </c>
      <c r="C12" s="12" t="n">
        <f aca="false">B12*'Correction factors'!$B$7</f>
        <v>0</v>
      </c>
      <c r="D12" s="13" t="n">
        <v>1.05893</v>
      </c>
      <c r="E12" s="14" t="n">
        <v>0</v>
      </c>
      <c r="F12" s="10" t="n">
        <f aca="false">E12/'Correction factors'!$B$10</f>
        <v>0</v>
      </c>
      <c r="G12" s="11" t="n">
        <v>288</v>
      </c>
    </row>
    <row r="13" customFormat="false" ht="15" hidden="false" customHeight="false" outlineLevel="0" collapsed="false">
      <c r="A13" s="10" t="n">
        <v>3.85954236984253</v>
      </c>
      <c r="B13" s="11" t="n">
        <v>0</v>
      </c>
      <c r="C13" s="12" t="n">
        <f aca="false">B13*'Correction factors'!$B$7</f>
        <v>0</v>
      </c>
      <c r="D13" s="13" t="n">
        <v>1.05893</v>
      </c>
      <c r="E13" s="14" t="n">
        <v>0</v>
      </c>
      <c r="F13" s="10" t="n">
        <f aca="false">E13/'Correction factors'!$B$10</f>
        <v>0</v>
      </c>
      <c r="G13" s="11" t="n">
        <v>297</v>
      </c>
    </row>
    <row r="14" customFormat="false" ht="15" hidden="false" customHeight="false" outlineLevel="0" collapsed="false">
      <c r="A14" s="10" t="n">
        <v>3.85954236984253</v>
      </c>
      <c r="B14" s="11" t="n">
        <v>0</v>
      </c>
      <c r="C14" s="12" t="n">
        <f aca="false">B14*'Correction factors'!$B$7</f>
        <v>0</v>
      </c>
      <c r="D14" s="13" t="n">
        <v>1.05893</v>
      </c>
      <c r="E14" s="14" t="n">
        <v>0</v>
      </c>
      <c r="F14" s="10" t="n">
        <f aca="false">E14/'Correction factors'!$B$10</f>
        <v>0</v>
      </c>
      <c r="G14" s="11" t="n">
        <v>299</v>
      </c>
    </row>
    <row r="15" customFormat="false" ht="15" hidden="false" customHeight="false" outlineLevel="0" collapsed="false">
      <c r="A15" s="10" t="n">
        <v>4.33745813369751</v>
      </c>
      <c r="B15" s="11" t="n">
        <v>0</v>
      </c>
      <c r="C15" s="12" t="n">
        <f aca="false">B15*'Correction factors'!$B$7</f>
        <v>0</v>
      </c>
      <c r="D15" s="13" t="n">
        <v>1.049108</v>
      </c>
      <c r="E15" s="14" t="n">
        <v>0</v>
      </c>
      <c r="F15" s="10" t="n">
        <f aca="false">E15/'Correction factors'!$B$10</f>
        <v>0</v>
      </c>
      <c r="G15" s="11" t="n">
        <v>310</v>
      </c>
    </row>
    <row r="16" customFormat="false" ht="15" hidden="false" customHeight="false" outlineLevel="0" collapsed="false">
      <c r="A16" s="10" t="n">
        <v>4.33745813369751</v>
      </c>
      <c r="B16" s="11" t="n">
        <v>0</v>
      </c>
      <c r="C16" s="12" t="n">
        <f aca="false">B16*'Correction factors'!$B$7</f>
        <v>0</v>
      </c>
      <c r="D16" s="13" t="n">
        <v>1.05893</v>
      </c>
      <c r="E16" s="14" t="n">
        <v>0</v>
      </c>
      <c r="F16" s="10" t="n">
        <f aca="false">E16/'Correction factors'!$B$10</f>
        <v>0</v>
      </c>
      <c r="G16" s="11" t="n">
        <v>311</v>
      </c>
    </row>
    <row r="17" customFormat="false" ht="15" hidden="false" customHeight="false" outlineLevel="0" collapsed="false">
      <c r="A17" s="10" t="n">
        <v>4.33745813369751</v>
      </c>
      <c r="B17" s="11" t="n">
        <v>0</v>
      </c>
      <c r="C17" s="12" t="n">
        <f aca="false">B17*'Correction factors'!$B$7</f>
        <v>0</v>
      </c>
      <c r="D17" s="13" t="n">
        <v>1.05893</v>
      </c>
      <c r="E17" s="14" t="n">
        <v>0</v>
      </c>
      <c r="F17" s="10" t="n">
        <f aca="false">E17/'Correction factors'!$B$10</f>
        <v>0</v>
      </c>
      <c r="G17" s="11" t="n">
        <v>320</v>
      </c>
    </row>
    <row r="18" customFormat="false" ht="15" hidden="false" customHeight="false" outlineLevel="0" collapsed="false">
      <c r="A18" s="10" t="n">
        <v>4.842041015625</v>
      </c>
      <c r="B18" s="11" t="n">
        <v>0</v>
      </c>
      <c r="C18" s="12" t="n">
        <f aca="false">B18*'Correction factors'!$B$7</f>
        <v>0</v>
      </c>
      <c r="D18" s="13" t="n">
        <v>1.05893</v>
      </c>
      <c r="E18" s="14" t="n">
        <v>0</v>
      </c>
      <c r="F18" s="10" t="n">
        <f aca="false">E18/'Correction factors'!$B$10</f>
        <v>0</v>
      </c>
      <c r="G18" s="11" t="n">
        <v>328</v>
      </c>
    </row>
    <row r="19" customFormat="false" ht="15" hidden="false" customHeight="false" outlineLevel="0" collapsed="false">
      <c r="A19" s="10" t="n">
        <v>4.842041015625</v>
      </c>
      <c r="B19" s="11" t="n">
        <v>0</v>
      </c>
      <c r="C19" s="12" t="n">
        <f aca="false">B19*'Correction factors'!$B$7</f>
        <v>0</v>
      </c>
      <c r="D19" s="13" t="n">
        <v>1.05893</v>
      </c>
      <c r="E19" s="14" t="n">
        <v>0</v>
      </c>
      <c r="F19" s="10" t="n">
        <f aca="false">E19/'Correction factors'!$B$10</f>
        <v>0</v>
      </c>
      <c r="G19" s="11" t="n">
        <v>331</v>
      </c>
    </row>
    <row r="20" customFormat="false" ht="15" hidden="false" customHeight="false" outlineLevel="0" collapsed="false">
      <c r="A20" s="10" t="n">
        <v>5.26463031768799</v>
      </c>
      <c r="B20" s="11" t="n">
        <v>0</v>
      </c>
      <c r="C20" s="12" t="n">
        <f aca="false">B20*'Correction factors'!$B$7</f>
        <v>0</v>
      </c>
      <c r="D20" s="13" t="n">
        <v>1.049108</v>
      </c>
      <c r="E20" s="14" t="n">
        <v>0</v>
      </c>
      <c r="F20" s="10" t="n">
        <f aca="false">E20/'Correction factors'!$B$10</f>
        <v>0</v>
      </c>
      <c r="G20" s="11" t="n">
        <v>342</v>
      </c>
    </row>
    <row r="21" customFormat="false" ht="15" hidden="false" customHeight="false" outlineLevel="0" collapsed="false">
      <c r="A21" s="10" t="n">
        <v>5.26463031768799</v>
      </c>
      <c r="B21" s="11" t="n">
        <v>0</v>
      </c>
      <c r="C21" s="12" t="n">
        <f aca="false">B21*'Correction factors'!$B$7</f>
        <v>0</v>
      </c>
      <c r="D21" s="13" t="n">
        <v>1.05893</v>
      </c>
      <c r="E21" s="14" t="n">
        <v>0</v>
      </c>
      <c r="F21" s="10" t="n">
        <f aca="false">E21/'Correction factors'!$B$10</f>
        <v>0</v>
      </c>
      <c r="G21" s="11" t="n">
        <v>344</v>
      </c>
    </row>
    <row r="22" customFormat="false" ht="15" hidden="false" customHeight="false" outlineLevel="0" collapsed="false">
      <c r="A22" s="10" t="n">
        <v>5.72056245803833</v>
      </c>
      <c r="B22" s="11" t="n">
        <v>0</v>
      </c>
      <c r="C22" s="12" t="n">
        <f aca="false">B22*'Correction factors'!$B$7</f>
        <v>0</v>
      </c>
      <c r="D22" s="13" t="n">
        <v>1.05893</v>
      </c>
      <c r="E22" s="14" t="n">
        <v>0</v>
      </c>
      <c r="F22" s="10" t="n">
        <f aca="false">E22/'Correction factors'!$B$10</f>
        <v>0</v>
      </c>
      <c r="G22" s="11" t="n">
        <v>354</v>
      </c>
    </row>
    <row r="23" customFormat="false" ht="15" hidden="false" customHeight="false" outlineLevel="0" collapsed="false">
      <c r="A23" s="10" t="n">
        <v>5.72056245803833</v>
      </c>
      <c r="B23" s="11" t="n">
        <v>0</v>
      </c>
      <c r="C23" s="12" t="n">
        <f aca="false">B23*'Correction factors'!$B$7</f>
        <v>0</v>
      </c>
      <c r="D23" s="13" t="n">
        <v>1.049108</v>
      </c>
      <c r="E23" s="14" t="n">
        <v>0</v>
      </c>
      <c r="F23" s="10" t="n">
        <f aca="false">E23/'Correction factors'!$B$10</f>
        <v>0</v>
      </c>
      <c r="G23" s="11" t="n">
        <v>356</v>
      </c>
    </row>
    <row r="24" customFormat="false" ht="15" hidden="false" customHeight="false" outlineLevel="0" collapsed="false">
      <c r="A24" s="10" t="n">
        <v>6.16904139518738</v>
      </c>
      <c r="B24" s="11" t="n">
        <v>0</v>
      </c>
      <c r="C24" s="12" t="n">
        <f aca="false">B24*'Correction factors'!$B$7</f>
        <v>0</v>
      </c>
      <c r="D24" s="13" t="n">
        <v>1.05893</v>
      </c>
      <c r="E24" s="14" t="n">
        <v>0</v>
      </c>
      <c r="F24" s="10" t="n">
        <f aca="false">E24/'Correction factors'!$B$10</f>
        <v>0</v>
      </c>
      <c r="G24" s="11" t="n">
        <v>366</v>
      </c>
    </row>
    <row r="25" customFormat="false" ht="15" hidden="false" customHeight="false" outlineLevel="0" collapsed="false">
      <c r="A25" s="10" t="n">
        <v>6.16904139518738</v>
      </c>
      <c r="B25" s="11" t="n">
        <v>0</v>
      </c>
      <c r="C25" s="12" t="n">
        <f aca="false">B25*'Correction factors'!$B$7</f>
        <v>0</v>
      </c>
      <c r="D25" s="13" t="n">
        <v>1.05893</v>
      </c>
      <c r="E25" s="14" t="n">
        <v>0</v>
      </c>
      <c r="F25" s="10" t="n">
        <f aca="false">E25/'Correction factors'!$B$10</f>
        <v>0</v>
      </c>
      <c r="G25" s="11" t="n">
        <v>368</v>
      </c>
    </row>
    <row r="26" customFormat="false" ht="15" hidden="false" customHeight="false" outlineLevel="0" collapsed="false">
      <c r="A26" s="10" t="n">
        <v>6.61860632896423</v>
      </c>
      <c r="B26" s="11" t="n">
        <v>0</v>
      </c>
      <c r="C26" s="12" t="n">
        <f aca="false">B26*'Correction factors'!$B$7</f>
        <v>0</v>
      </c>
      <c r="D26" s="13" t="n">
        <v>1.05893</v>
      </c>
      <c r="E26" s="14" t="n">
        <v>0</v>
      </c>
      <c r="F26" s="10" t="n">
        <f aca="false">E26/'Correction factors'!$B$10</f>
        <v>0</v>
      </c>
      <c r="G26" s="11" t="n">
        <v>378</v>
      </c>
    </row>
    <row r="27" customFormat="false" ht="15" hidden="false" customHeight="false" outlineLevel="0" collapsed="false">
      <c r="A27" s="10" t="n">
        <v>6.61860632896423</v>
      </c>
      <c r="B27" s="11" t="n">
        <v>0</v>
      </c>
      <c r="C27" s="12" t="n">
        <f aca="false">B27*'Correction factors'!$B$7</f>
        <v>0</v>
      </c>
      <c r="D27" s="13" t="n">
        <v>1.05893</v>
      </c>
      <c r="E27" s="14" t="n">
        <v>0</v>
      </c>
      <c r="F27" s="10" t="n">
        <f aca="false">E27/'Correction factors'!$B$10</f>
        <v>0</v>
      </c>
      <c r="G27" s="11" t="n">
        <v>380</v>
      </c>
    </row>
    <row r="28" customFormat="false" ht="15" hidden="false" customHeight="false" outlineLevel="0" collapsed="false">
      <c r="A28" s="10" t="n">
        <v>6.61860632896423</v>
      </c>
      <c r="B28" s="11" t="n">
        <v>0</v>
      </c>
      <c r="C28" s="12" t="n">
        <f aca="false">B28*'Correction factors'!$B$7</f>
        <v>0</v>
      </c>
      <c r="D28" s="13" t="n">
        <v>1.05893</v>
      </c>
      <c r="E28" s="14" t="n">
        <v>0</v>
      </c>
      <c r="F28" s="10" t="n">
        <f aca="false">E28/'Correction factors'!$B$10</f>
        <v>0</v>
      </c>
      <c r="G28" s="11" t="n">
        <v>390</v>
      </c>
    </row>
    <row r="29" customFormat="false" ht="15" hidden="false" customHeight="false" outlineLevel="0" collapsed="false">
      <c r="A29" s="10" t="n">
        <v>7.17543578147888</v>
      </c>
      <c r="B29" s="11" t="n">
        <v>0</v>
      </c>
      <c r="C29" s="12" t="n">
        <f aca="false">B29*'Correction factors'!$B$7</f>
        <v>0</v>
      </c>
      <c r="D29" s="13" t="n">
        <v>1.068751</v>
      </c>
      <c r="E29" s="14" t="n">
        <v>0</v>
      </c>
      <c r="F29" s="10" t="n">
        <f aca="false">E29/'Correction factors'!$B$10</f>
        <v>0</v>
      </c>
      <c r="G29" s="11" t="n">
        <v>398</v>
      </c>
    </row>
    <row r="30" customFormat="false" ht="15" hidden="false" customHeight="false" outlineLevel="0" collapsed="false">
      <c r="A30" s="10" t="n">
        <v>7.17543578147888</v>
      </c>
      <c r="B30" s="11" t="n">
        <v>0</v>
      </c>
      <c r="C30" s="12" t="n">
        <f aca="false">B30*'Correction factors'!$B$7</f>
        <v>0</v>
      </c>
      <c r="D30" s="13" t="n">
        <v>1.05893</v>
      </c>
      <c r="E30" s="14" t="n">
        <v>0</v>
      </c>
      <c r="F30" s="10" t="n">
        <f aca="false">E30/'Correction factors'!$B$10</f>
        <v>0</v>
      </c>
      <c r="G30" s="11" t="n">
        <v>400</v>
      </c>
    </row>
    <row r="31" customFormat="false" ht="15" hidden="false" customHeight="false" outlineLevel="0" collapsed="false">
      <c r="A31" s="10" t="n">
        <v>7.65770244598389</v>
      </c>
      <c r="B31" s="11" t="n">
        <v>0</v>
      </c>
      <c r="C31" s="12" t="n">
        <f aca="false">B31*'Correction factors'!$B$7</f>
        <v>0</v>
      </c>
      <c r="D31" s="13" t="n">
        <v>1.05893</v>
      </c>
      <c r="E31" s="14" t="n">
        <v>0</v>
      </c>
      <c r="F31" s="10" t="n">
        <f aca="false">E31/'Correction factors'!$B$10</f>
        <v>0</v>
      </c>
      <c r="G31" s="11" t="n">
        <v>411</v>
      </c>
    </row>
    <row r="32" customFormat="false" ht="15" hidden="false" customHeight="false" outlineLevel="0" collapsed="false">
      <c r="A32" s="10" t="n">
        <v>7.65770244598389</v>
      </c>
      <c r="B32" s="11" t="n">
        <v>0</v>
      </c>
      <c r="C32" s="12" t="n">
        <f aca="false">B32*'Correction factors'!$B$7</f>
        <v>0</v>
      </c>
      <c r="D32" s="13" t="n">
        <v>1.05893</v>
      </c>
      <c r="E32" s="14" t="n">
        <v>0</v>
      </c>
      <c r="F32" s="10" t="n">
        <f aca="false">E32/'Correction factors'!$B$10</f>
        <v>0</v>
      </c>
      <c r="G32" s="11" t="n">
        <v>413</v>
      </c>
    </row>
    <row r="33" customFormat="false" ht="15" hidden="false" customHeight="false" outlineLevel="0" collapsed="false">
      <c r="A33" s="10" t="n">
        <v>7.65770244598389</v>
      </c>
      <c r="B33" s="11" t="n">
        <v>0</v>
      </c>
      <c r="C33" s="12" t="n">
        <f aca="false">B33*'Correction factors'!$B$7</f>
        <v>0</v>
      </c>
      <c r="D33" s="13" t="n">
        <v>1.068751</v>
      </c>
      <c r="E33" s="14" t="n">
        <v>0</v>
      </c>
      <c r="F33" s="10" t="n">
        <f aca="false">E33/'Correction factors'!$B$10</f>
        <v>0</v>
      </c>
      <c r="G33" s="11" t="n">
        <v>418</v>
      </c>
    </row>
    <row r="34" customFormat="false" ht="15" hidden="false" customHeight="false" outlineLevel="0" collapsed="false">
      <c r="A34" s="10" t="n">
        <v>8.18505668640137</v>
      </c>
      <c r="B34" s="11" t="n">
        <v>0</v>
      </c>
      <c r="C34" s="12" t="n">
        <f aca="false">B34*'Correction factors'!$B$7</f>
        <v>0</v>
      </c>
      <c r="D34" s="13" t="n">
        <v>1.05893</v>
      </c>
      <c r="E34" s="14" t="n">
        <v>0</v>
      </c>
      <c r="F34" s="10" t="n">
        <f aca="false">E34/'Correction factors'!$B$10</f>
        <v>0</v>
      </c>
      <c r="G34" s="11" t="n">
        <v>429</v>
      </c>
    </row>
    <row r="35" customFormat="false" ht="15" hidden="false" customHeight="false" outlineLevel="0" collapsed="false">
      <c r="A35" s="10" t="n">
        <v>8.18505668640137</v>
      </c>
      <c r="B35" s="11" t="n">
        <v>0</v>
      </c>
      <c r="C35" s="12" t="n">
        <f aca="false">B35*'Correction factors'!$B$7</f>
        <v>0</v>
      </c>
      <c r="D35" s="13" t="n">
        <v>1.05893</v>
      </c>
      <c r="E35" s="14" t="n">
        <v>0</v>
      </c>
      <c r="F35" s="10" t="n">
        <f aca="false">E35/'Correction factors'!$B$10</f>
        <v>0</v>
      </c>
      <c r="G35" s="11" t="n">
        <v>431</v>
      </c>
    </row>
    <row r="36" customFormat="false" ht="15" hidden="false" customHeight="false" outlineLevel="0" collapsed="false">
      <c r="A36" s="10" t="n">
        <v>8.65064811706543</v>
      </c>
      <c r="B36" s="11" t="n">
        <v>0</v>
      </c>
      <c r="C36" s="12" t="n">
        <f aca="false">B36*'Correction factors'!$B$7</f>
        <v>0</v>
      </c>
      <c r="D36" s="13" t="n">
        <v>1.05893</v>
      </c>
      <c r="E36" s="14" t="n">
        <v>0</v>
      </c>
      <c r="F36" s="10" t="n">
        <f aca="false">E36/'Correction factors'!$B$10</f>
        <v>0</v>
      </c>
      <c r="G36" s="11" t="n">
        <v>442</v>
      </c>
    </row>
    <row r="37" customFormat="false" ht="15" hidden="false" customHeight="false" outlineLevel="0" collapsed="false">
      <c r="A37" s="10" t="n">
        <v>8.65064811706543</v>
      </c>
      <c r="B37" s="11" t="n">
        <v>0</v>
      </c>
      <c r="C37" s="12" t="n">
        <f aca="false">B37*'Correction factors'!$B$7</f>
        <v>0</v>
      </c>
      <c r="D37" s="13" t="n">
        <v>1.039286</v>
      </c>
      <c r="E37" s="14" t="n">
        <v>0</v>
      </c>
      <c r="F37" s="10" t="n">
        <f aca="false">E37/'Correction factors'!$B$10</f>
        <v>0</v>
      </c>
      <c r="G37" s="11" t="n">
        <v>444</v>
      </c>
    </row>
    <row r="38" customFormat="false" ht="15" hidden="false" customHeight="false" outlineLevel="0" collapsed="false">
      <c r="A38" s="10" t="n">
        <v>9.11739659309387</v>
      </c>
      <c r="B38" s="11" t="n">
        <v>0</v>
      </c>
      <c r="C38" s="12" t="n">
        <f aca="false">B38*'Correction factors'!$B$7</f>
        <v>0</v>
      </c>
      <c r="D38" s="13" t="n">
        <v>1.049108</v>
      </c>
      <c r="E38" s="14" t="n">
        <v>0</v>
      </c>
      <c r="F38" s="10" t="n">
        <f aca="false">E38/'Correction factors'!$B$10</f>
        <v>0</v>
      </c>
      <c r="G38" s="11" t="n">
        <v>452</v>
      </c>
    </row>
    <row r="39" customFormat="false" ht="15" hidden="false" customHeight="false" outlineLevel="0" collapsed="false">
      <c r="A39" s="10" t="n">
        <v>9.11739659309387</v>
      </c>
      <c r="B39" s="11" t="n">
        <v>0</v>
      </c>
      <c r="C39" s="12" t="n">
        <f aca="false">B39*'Correction factors'!$B$7</f>
        <v>0</v>
      </c>
      <c r="D39" s="13" t="n">
        <v>1.05893</v>
      </c>
      <c r="E39" s="14" t="n">
        <v>0</v>
      </c>
      <c r="F39" s="10" t="n">
        <f aca="false">E39/'Correction factors'!$B$10</f>
        <v>0</v>
      </c>
      <c r="G39" s="11" t="n">
        <v>456</v>
      </c>
    </row>
    <row r="40" customFormat="false" ht="15" hidden="false" customHeight="false" outlineLevel="0" collapsed="false">
      <c r="A40" s="10" t="n">
        <v>9.11739659309387</v>
      </c>
      <c r="B40" s="11" t="n">
        <v>0</v>
      </c>
      <c r="C40" s="12" t="n">
        <f aca="false">B40*'Correction factors'!$B$7</f>
        <v>0</v>
      </c>
      <c r="D40" s="13" t="n">
        <v>1.05893</v>
      </c>
      <c r="E40" s="14" t="n">
        <v>0</v>
      </c>
      <c r="F40" s="10" t="n">
        <f aca="false">E40/'Correction factors'!$B$10</f>
        <v>0</v>
      </c>
      <c r="G40" s="11" t="n">
        <v>463</v>
      </c>
    </row>
    <row r="41" customFormat="false" ht="15" hidden="false" customHeight="false" outlineLevel="0" collapsed="false">
      <c r="A41" s="10" t="n">
        <v>9.57778215408325</v>
      </c>
      <c r="B41" s="11" t="n">
        <v>0</v>
      </c>
      <c r="C41" s="12" t="n">
        <f aca="false">B41*'Correction factors'!$B$7</f>
        <v>0</v>
      </c>
      <c r="D41" s="13" t="n">
        <v>1.05893</v>
      </c>
      <c r="E41" s="14" t="n">
        <v>0</v>
      </c>
      <c r="F41" s="10" t="n">
        <f aca="false">E41/'Correction factors'!$B$10</f>
        <v>0</v>
      </c>
      <c r="G41" s="11" t="n">
        <v>473</v>
      </c>
    </row>
    <row r="42" customFormat="false" ht="15" hidden="false" customHeight="false" outlineLevel="0" collapsed="false">
      <c r="A42" s="10" t="n">
        <v>9.57778215408325</v>
      </c>
      <c r="B42" s="11" t="n">
        <v>0</v>
      </c>
      <c r="C42" s="12" t="n">
        <f aca="false">B42*'Correction factors'!$B$7</f>
        <v>0</v>
      </c>
      <c r="D42" s="13" t="n">
        <v>1.05893</v>
      </c>
      <c r="E42" s="14" t="n">
        <v>0</v>
      </c>
      <c r="F42" s="10" t="n">
        <f aca="false">E42/'Correction factors'!$B$10</f>
        <v>0</v>
      </c>
      <c r="G42" s="11" t="n">
        <v>475</v>
      </c>
    </row>
    <row r="43" customFormat="false" ht="15" hidden="false" customHeight="false" outlineLevel="0" collapsed="false">
      <c r="A43" s="10" t="n">
        <v>10.0137386322022</v>
      </c>
      <c r="B43" s="11" t="n">
        <v>0</v>
      </c>
      <c r="C43" s="12" t="n">
        <f aca="false">B43*'Correction factors'!$B$7</f>
        <v>0</v>
      </c>
      <c r="D43" s="13" t="n">
        <v>1.049108</v>
      </c>
      <c r="E43" s="14" t="n">
        <v>0</v>
      </c>
      <c r="F43" s="10" t="n">
        <f aca="false">E43/'Correction factors'!$B$10</f>
        <v>0</v>
      </c>
      <c r="G43" s="11" t="n">
        <v>485</v>
      </c>
    </row>
    <row r="44" customFormat="false" ht="15" hidden="false" customHeight="false" outlineLevel="0" collapsed="false">
      <c r="A44" s="10" t="n">
        <v>10.0137386322022</v>
      </c>
      <c r="B44" s="11" t="n">
        <v>0</v>
      </c>
      <c r="C44" s="12" t="n">
        <f aca="false">B44*'Correction factors'!$B$7</f>
        <v>0</v>
      </c>
      <c r="D44" s="13" t="n">
        <v>1.05893</v>
      </c>
      <c r="E44" s="14" t="n">
        <v>0</v>
      </c>
      <c r="F44" s="10" t="n">
        <f aca="false">E44/'Correction factors'!$B$10</f>
        <v>0</v>
      </c>
      <c r="G44" s="11" t="n">
        <v>486</v>
      </c>
    </row>
    <row r="45" customFormat="false" ht="15" hidden="false" customHeight="false" outlineLevel="0" collapsed="false">
      <c r="A45" s="10" t="n">
        <v>10.4626929759979</v>
      </c>
      <c r="B45" s="11" t="n">
        <v>0</v>
      </c>
      <c r="C45" s="12" t="n">
        <f aca="false">B45*'Correction factors'!$B$7</f>
        <v>0</v>
      </c>
      <c r="D45" s="13" t="n">
        <v>1.726798</v>
      </c>
      <c r="E45" s="14" t="n">
        <v>152</v>
      </c>
      <c r="F45" s="10" t="n">
        <f aca="false">E45/'Correction factors'!$B$10</f>
        <v>12.2588</v>
      </c>
      <c r="G45" s="11" t="n">
        <v>496</v>
      </c>
    </row>
    <row r="46" customFormat="false" ht="15" hidden="false" customHeight="false" outlineLevel="0" collapsed="false">
      <c r="A46" s="10" t="n">
        <v>10.4626929759979</v>
      </c>
      <c r="B46" s="11" t="n">
        <v>0</v>
      </c>
      <c r="C46" s="12" t="n">
        <f aca="false">B46*'Correction factors'!$B$7</f>
        <v>0</v>
      </c>
      <c r="D46" s="13" t="n">
        <v>1.874122</v>
      </c>
      <c r="E46" s="14" t="n">
        <v>320</v>
      </c>
      <c r="F46" s="10" t="n">
        <f aca="false">E46/'Correction factors'!$B$10</f>
        <v>25.808</v>
      </c>
      <c r="G46" s="11" t="n">
        <v>498</v>
      </c>
    </row>
    <row r="47" customFormat="false" ht="15" hidden="false" customHeight="false" outlineLevel="0" collapsed="false">
      <c r="A47" s="10" t="n">
        <v>10.9049410820007</v>
      </c>
      <c r="B47" s="11" t="n">
        <v>0</v>
      </c>
      <c r="C47" s="12" t="n">
        <f aca="false">B47*'Correction factors'!$B$7</f>
        <v>0</v>
      </c>
      <c r="D47" s="13" t="n">
        <v>2.001803</v>
      </c>
      <c r="E47" s="14" t="n">
        <v>376</v>
      </c>
      <c r="F47" s="10" t="n">
        <f aca="false">E47/'Correction factors'!$B$10</f>
        <v>30.3244</v>
      </c>
      <c r="G47" s="11" t="n">
        <v>509</v>
      </c>
    </row>
    <row r="48" customFormat="false" ht="15" hidden="false" customHeight="false" outlineLevel="0" collapsed="false">
      <c r="A48" s="10" t="n">
        <v>10.9049410820007</v>
      </c>
      <c r="B48" s="11" t="n">
        <v>0</v>
      </c>
      <c r="C48" s="12" t="n">
        <f aca="false">B48*'Correction factors'!$B$7</f>
        <v>0</v>
      </c>
      <c r="D48" s="13" t="n">
        <v>2.119662</v>
      </c>
      <c r="E48" s="14" t="n">
        <v>416</v>
      </c>
      <c r="F48" s="10" t="n">
        <f aca="false">E48/'Correction factors'!$B$10</f>
        <v>33.5504</v>
      </c>
      <c r="G48" s="11" t="n">
        <v>509</v>
      </c>
    </row>
    <row r="49" customFormat="false" ht="15" hidden="false" customHeight="false" outlineLevel="0" collapsed="false">
      <c r="A49" s="10" t="n">
        <v>11.3655097484589</v>
      </c>
      <c r="B49" s="11" t="n">
        <v>0</v>
      </c>
      <c r="C49" s="12" t="n">
        <f aca="false">B49*'Correction factors'!$B$7</f>
        <v>0</v>
      </c>
      <c r="D49" s="13" t="n">
        <v>2.247343</v>
      </c>
      <c r="E49" s="14" t="n">
        <v>448</v>
      </c>
      <c r="F49" s="10" t="n">
        <f aca="false">E49/'Correction factors'!$B$10</f>
        <v>36.1312</v>
      </c>
      <c r="G49" s="11" t="n">
        <v>509</v>
      </c>
    </row>
    <row r="50" customFormat="false" ht="15" hidden="false" customHeight="false" outlineLevel="0" collapsed="false">
      <c r="A50" s="10" t="n">
        <v>11.3655097484589</v>
      </c>
      <c r="B50" s="11" t="n">
        <v>0</v>
      </c>
      <c r="C50" s="12" t="n">
        <f aca="false">B50*'Correction factors'!$B$7</f>
        <v>0</v>
      </c>
      <c r="D50" s="13" t="n">
        <v>2.335737</v>
      </c>
      <c r="E50" s="14" t="n">
        <v>472</v>
      </c>
      <c r="F50" s="10" t="n">
        <f aca="false">E50/'Correction factors'!$B$10</f>
        <v>38.0668</v>
      </c>
      <c r="G50" s="11" t="n">
        <v>509</v>
      </c>
    </row>
    <row r="51" customFormat="false" ht="15" hidden="false" customHeight="false" outlineLevel="0" collapsed="false">
      <c r="A51" s="10" t="n">
        <v>11.3655097484589</v>
      </c>
      <c r="B51" s="11" t="n">
        <v>60</v>
      </c>
      <c r="C51" s="12" t="n">
        <f aca="false">B51*'Correction factors'!$B$7</f>
        <v>290.34</v>
      </c>
      <c r="D51" s="13" t="n">
        <v>2.424131</v>
      </c>
      <c r="E51" s="14" t="n">
        <v>488</v>
      </c>
      <c r="F51" s="10" t="n">
        <f aca="false">E51/'Correction factors'!$B$10</f>
        <v>39.3572</v>
      </c>
      <c r="G51" s="11" t="n">
        <v>509</v>
      </c>
    </row>
    <row r="52" customFormat="false" ht="15" hidden="false" customHeight="false" outlineLevel="0" collapsed="false">
      <c r="A52" s="10" t="n">
        <v>11.8766474723816</v>
      </c>
      <c r="B52" s="11" t="n">
        <v>500</v>
      </c>
      <c r="C52" s="12" t="n">
        <f aca="false">B52*'Correction factors'!$B$7</f>
        <v>2419.5</v>
      </c>
      <c r="D52" s="13" t="n">
        <v>2.492883</v>
      </c>
      <c r="E52" s="14" t="n">
        <v>512</v>
      </c>
      <c r="F52" s="10" t="n">
        <f aca="false">E52/'Correction factors'!$B$10</f>
        <v>41.2928</v>
      </c>
      <c r="G52" s="11" t="n">
        <v>508</v>
      </c>
    </row>
    <row r="53" customFormat="false" ht="15" hidden="false" customHeight="false" outlineLevel="0" collapsed="false">
      <c r="A53" s="10" t="n">
        <v>11.8766474723816</v>
      </c>
      <c r="B53" s="11" t="n">
        <v>580</v>
      </c>
      <c r="C53" s="12" t="n">
        <f aca="false">B53*'Correction factors'!$B$7</f>
        <v>2806.62</v>
      </c>
      <c r="D53" s="13" t="n">
        <v>2.551812</v>
      </c>
      <c r="E53" s="14" t="n">
        <v>536</v>
      </c>
      <c r="F53" s="10" t="n">
        <f aca="false">E53/'Correction factors'!$B$10</f>
        <v>43.2284</v>
      </c>
      <c r="G53" s="11" t="n">
        <v>489</v>
      </c>
    </row>
    <row r="54" customFormat="false" ht="15" hidden="false" customHeight="false" outlineLevel="0" collapsed="false">
      <c r="A54" s="10" t="n">
        <v>12.3180387020111</v>
      </c>
      <c r="B54" s="11" t="n">
        <v>600</v>
      </c>
      <c r="C54" s="12" t="n">
        <f aca="false">B54*'Correction factors'!$B$7</f>
        <v>2903.4</v>
      </c>
      <c r="D54" s="13" t="n">
        <v>2.718779</v>
      </c>
      <c r="E54" s="14" t="n">
        <v>528</v>
      </c>
      <c r="F54" s="10" t="n">
        <f aca="false">E54/'Correction factors'!$B$10</f>
        <v>42.5832</v>
      </c>
      <c r="G54" s="11" t="n">
        <v>428</v>
      </c>
    </row>
    <row r="55" customFormat="false" ht="15" hidden="false" customHeight="false" outlineLevel="0" collapsed="false">
      <c r="A55" s="10" t="n">
        <v>12.3180387020111</v>
      </c>
      <c r="B55" s="11" t="n">
        <v>500</v>
      </c>
      <c r="C55" s="12" t="n">
        <f aca="false">B55*'Correction factors'!$B$7</f>
        <v>2419.5</v>
      </c>
      <c r="D55" s="13" t="n">
        <v>2.84646</v>
      </c>
      <c r="E55" s="14" t="n">
        <v>432</v>
      </c>
      <c r="F55" s="10" t="n">
        <f aca="false">E55/'Correction factors'!$B$10</f>
        <v>34.8408</v>
      </c>
      <c r="G55" s="11" t="n">
        <v>423</v>
      </c>
    </row>
    <row r="56" customFormat="false" ht="15" hidden="false" customHeight="false" outlineLevel="0" collapsed="false">
      <c r="A56" s="10" t="n">
        <v>12.7678117752075</v>
      </c>
      <c r="B56" s="11" t="n">
        <v>500</v>
      </c>
      <c r="C56" s="12" t="n">
        <f aca="false">B56*'Correction factors'!$B$7</f>
        <v>2419.5</v>
      </c>
      <c r="D56" s="13" t="n">
        <v>2.925033</v>
      </c>
      <c r="E56" s="14" t="n">
        <v>400</v>
      </c>
      <c r="F56" s="10" t="n">
        <f aca="false">E56/'Correction factors'!$B$10</f>
        <v>32.26</v>
      </c>
      <c r="G56" s="11" t="n">
        <v>418</v>
      </c>
    </row>
    <row r="57" customFormat="false" ht="15" hidden="false" customHeight="false" outlineLevel="0" collapsed="false">
      <c r="A57" s="10" t="n">
        <v>12.7678117752075</v>
      </c>
      <c r="B57" s="11" t="n">
        <v>520</v>
      </c>
      <c r="C57" s="12" t="n">
        <f aca="false">B57*'Correction factors'!$B$7</f>
        <v>2516.28</v>
      </c>
      <c r="D57" s="13" t="n">
        <v>3.013427</v>
      </c>
      <c r="E57" s="14" t="n">
        <v>408</v>
      </c>
      <c r="F57" s="10" t="n">
        <f aca="false">E57/'Correction factors'!$B$10</f>
        <v>32.9052</v>
      </c>
      <c r="G57" s="11" t="n">
        <v>413</v>
      </c>
    </row>
    <row r="58" customFormat="false" ht="15" hidden="false" customHeight="false" outlineLevel="0" collapsed="false">
      <c r="A58" s="10" t="n">
        <v>13.251015663147</v>
      </c>
      <c r="B58" s="11" t="n">
        <v>560</v>
      </c>
      <c r="C58" s="12" t="n">
        <f aca="false">B58*'Correction factors'!$B$7</f>
        <v>2709.84</v>
      </c>
      <c r="D58" s="13" t="n">
        <v>3.101821</v>
      </c>
      <c r="E58" s="14" t="n">
        <v>416</v>
      </c>
      <c r="F58" s="10" t="n">
        <f aca="false">E58/'Correction factors'!$B$10</f>
        <v>33.5504</v>
      </c>
      <c r="G58" s="11" t="n">
        <v>395</v>
      </c>
    </row>
    <row r="59" customFormat="false" ht="15" hidden="false" customHeight="false" outlineLevel="0" collapsed="false">
      <c r="A59" s="10" t="n">
        <v>13.251015663147</v>
      </c>
      <c r="B59" s="11" t="n">
        <v>500</v>
      </c>
      <c r="C59" s="12" t="n">
        <f aca="false">B59*'Correction factors'!$B$7</f>
        <v>2419.5</v>
      </c>
      <c r="D59" s="13" t="n">
        <v>3.249145</v>
      </c>
      <c r="E59" s="14" t="n">
        <v>360</v>
      </c>
      <c r="F59" s="10" t="n">
        <f aca="false">E59/'Correction factors'!$B$10</f>
        <v>29.034</v>
      </c>
      <c r="G59" s="11" t="n">
        <v>386</v>
      </c>
    </row>
    <row r="60" customFormat="false" ht="15" hidden="false" customHeight="false" outlineLevel="0" collapsed="false">
      <c r="A60" s="10" t="n">
        <v>13.251015663147</v>
      </c>
      <c r="B60" s="11" t="n">
        <v>500</v>
      </c>
      <c r="C60" s="12" t="n">
        <f aca="false">B60*'Correction factors'!$B$7</f>
        <v>2419.5</v>
      </c>
      <c r="D60" s="13" t="n">
        <v>3.347361</v>
      </c>
      <c r="E60" s="14" t="n">
        <v>344</v>
      </c>
      <c r="F60" s="10" t="n">
        <f aca="false">E60/'Correction factors'!$B$10</f>
        <v>27.7436</v>
      </c>
      <c r="G60" s="11" t="n">
        <v>379</v>
      </c>
    </row>
    <row r="61" customFormat="false" ht="15" hidden="false" customHeight="false" outlineLevel="0" collapsed="false">
      <c r="A61" s="10" t="n">
        <v>13.7507944107056</v>
      </c>
      <c r="B61" s="11" t="n">
        <v>460</v>
      </c>
      <c r="C61" s="12" t="n">
        <f aca="false">B61*'Correction factors'!$B$7</f>
        <v>2225.94</v>
      </c>
      <c r="D61" s="13" t="n">
        <v>3.573258</v>
      </c>
      <c r="E61" s="14" t="n">
        <v>296</v>
      </c>
      <c r="F61" s="10" t="n">
        <f aca="false">E61/'Correction factors'!$B$10</f>
        <v>23.8724</v>
      </c>
      <c r="G61" s="11" t="n">
        <v>370</v>
      </c>
    </row>
    <row r="62" customFormat="false" ht="15" hidden="false" customHeight="false" outlineLevel="0" collapsed="false">
      <c r="A62" s="10" t="n">
        <v>13.7507944107056</v>
      </c>
      <c r="B62" s="11" t="n">
        <v>380</v>
      </c>
      <c r="C62" s="12" t="n">
        <f aca="false">B62*'Correction factors'!$B$7</f>
        <v>1838.82</v>
      </c>
      <c r="D62" s="13" t="n">
        <v>3.730403</v>
      </c>
      <c r="E62" s="14" t="n">
        <v>160</v>
      </c>
      <c r="F62" s="10" t="n">
        <f aca="false">E62/'Correction factors'!$B$10</f>
        <v>12.904</v>
      </c>
      <c r="G62" s="11" t="n">
        <v>370</v>
      </c>
    </row>
    <row r="63" customFormat="false" ht="15" hidden="false" customHeight="false" outlineLevel="0" collapsed="false">
      <c r="A63" s="10" t="n">
        <v>14.2062840461731</v>
      </c>
      <c r="B63" s="11" t="n">
        <v>400</v>
      </c>
      <c r="C63" s="12" t="n">
        <f aca="false">B63*'Correction factors'!$B$7</f>
        <v>1935.6</v>
      </c>
      <c r="D63" s="13" t="n">
        <v>3.858084</v>
      </c>
      <c r="E63" s="14" t="n">
        <v>128</v>
      </c>
      <c r="F63" s="10" t="n">
        <f aca="false">E63/'Correction factors'!$B$10</f>
        <v>10.3232</v>
      </c>
      <c r="G63" s="11" t="n">
        <v>375</v>
      </c>
    </row>
    <row r="64" customFormat="false" ht="15" hidden="false" customHeight="false" outlineLevel="0" collapsed="false">
      <c r="A64" s="10" t="n">
        <v>14.2062840461731</v>
      </c>
      <c r="B64" s="11" t="n">
        <v>420</v>
      </c>
      <c r="C64" s="12" t="n">
        <f aca="false">B64*'Correction factors'!$B$7</f>
        <v>2032.38</v>
      </c>
      <c r="D64" s="13" t="n">
        <v>3.975943</v>
      </c>
      <c r="E64" s="14" t="n">
        <v>120</v>
      </c>
      <c r="F64" s="10" t="n">
        <f aca="false">E64/'Correction factors'!$B$10</f>
        <v>9.678</v>
      </c>
      <c r="G64" s="11" t="n">
        <v>373</v>
      </c>
    </row>
    <row r="65" customFormat="false" ht="15" hidden="false" customHeight="false" outlineLevel="0" collapsed="false">
      <c r="A65" s="10" t="n">
        <v>14.6731159687042</v>
      </c>
      <c r="B65" s="11" t="n">
        <v>440</v>
      </c>
      <c r="C65" s="12" t="n">
        <f aca="false">B65*'Correction factors'!$B$7</f>
        <v>2129.16</v>
      </c>
      <c r="D65" s="13" t="n">
        <v>4.123267</v>
      </c>
      <c r="E65" s="14" t="n">
        <v>120</v>
      </c>
      <c r="F65" s="10" t="n">
        <f aca="false">E65/'Correction factors'!$B$10</f>
        <v>9.678</v>
      </c>
      <c r="G65" s="11" t="n">
        <v>355</v>
      </c>
    </row>
    <row r="66" customFormat="false" ht="15" hidden="false" customHeight="false" outlineLevel="0" collapsed="false">
      <c r="A66" s="10" t="n">
        <v>14.6731159687042</v>
      </c>
      <c r="B66" s="11" t="n">
        <v>340</v>
      </c>
      <c r="C66" s="12" t="n">
        <f aca="false">B66*'Correction factors'!$B$7</f>
        <v>1645.26</v>
      </c>
      <c r="D66" s="13" t="n">
        <v>4.309877</v>
      </c>
      <c r="E66" s="14" t="n">
        <v>88</v>
      </c>
      <c r="F66" s="10" t="n">
        <f aca="false">E66/'Correction factors'!$B$10</f>
        <v>7.0972</v>
      </c>
      <c r="G66" s="11" t="n">
        <v>351</v>
      </c>
    </row>
    <row r="67" customFormat="false" ht="15" hidden="false" customHeight="false" outlineLevel="0" collapsed="false">
      <c r="A67" s="10" t="n">
        <v>14.6731159687042</v>
      </c>
      <c r="B67" s="11" t="n">
        <v>320</v>
      </c>
      <c r="C67" s="12" t="n">
        <f aca="false">B67*'Correction factors'!$B$7</f>
        <v>1548.48</v>
      </c>
      <c r="D67" s="13" t="n">
        <v>4.457201</v>
      </c>
      <c r="E67" s="14" t="n">
        <v>72</v>
      </c>
      <c r="F67" s="10" t="n">
        <f aca="false">E67/'Correction factors'!$B$10</f>
        <v>5.8068</v>
      </c>
      <c r="G67" s="11" t="n">
        <v>354</v>
      </c>
    </row>
    <row r="68" customFormat="false" ht="15" hidden="false" customHeight="false" outlineLevel="0" collapsed="false">
      <c r="A68" s="10" t="n">
        <v>15.1994881629944</v>
      </c>
      <c r="B68" s="11" t="n">
        <v>340</v>
      </c>
      <c r="C68" s="12" t="n">
        <f aca="false">B68*'Correction factors'!$B$7</f>
        <v>1645.26</v>
      </c>
      <c r="D68" s="13" t="n">
        <v>4.584882</v>
      </c>
      <c r="E68" s="14" t="n">
        <v>72</v>
      </c>
      <c r="F68" s="10" t="n">
        <f aca="false">E68/'Correction factors'!$B$10</f>
        <v>5.8068</v>
      </c>
      <c r="G68" s="11" t="n">
        <v>355</v>
      </c>
    </row>
    <row r="69" customFormat="false" ht="15" hidden="false" customHeight="false" outlineLevel="0" collapsed="false">
      <c r="A69" s="10" t="n">
        <v>15.1994881629944</v>
      </c>
      <c r="B69" s="11" t="n">
        <v>340</v>
      </c>
      <c r="C69" s="12" t="n">
        <f aca="false">B69*'Correction factors'!$B$7</f>
        <v>1645.26</v>
      </c>
      <c r="D69" s="13" t="n">
        <v>4.702741</v>
      </c>
      <c r="E69" s="14" t="n">
        <v>80</v>
      </c>
      <c r="F69" s="10" t="n">
        <f aca="false">E69/'Correction factors'!$B$10</f>
        <v>6.452</v>
      </c>
      <c r="G69" s="11" t="n">
        <v>354</v>
      </c>
    </row>
    <row r="70" customFormat="false" ht="15" hidden="false" customHeight="false" outlineLevel="0" collapsed="false">
      <c r="A70" s="10" t="n">
        <v>15.6596446037293</v>
      </c>
      <c r="B70" s="11" t="n">
        <v>360</v>
      </c>
      <c r="C70" s="12" t="n">
        <f aca="false">B70*'Correction factors'!$B$7</f>
        <v>1742.04</v>
      </c>
      <c r="D70" s="13" t="n">
        <v>4.850065</v>
      </c>
      <c r="E70" s="14" t="n">
        <v>72</v>
      </c>
      <c r="F70" s="10" t="n">
        <f aca="false">E70/'Correction factors'!$B$10</f>
        <v>5.8068</v>
      </c>
      <c r="G70" s="11" t="n">
        <v>344</v>
      </c>
    </row>
    <row r="71" customFormat="false" ht="15" hidden="false" customHeight="false" outlineLevel="0" collapsed="false">
      <c r="A71" s="10" t="n">
        <v>15.6596446037293</v>
      </c>
      <c r="B71" s="11" t="n">
        <v>300</v>
      </c>
      <c r="C71" s="12" t="n">
        <f aca="false">B71*'Correction factors'!$B$7</f>
        <v>1451.7</v>
      </c>
      <c r="D71" s="13" t="n">
        <v>4.987567</v>
      </c>
      <c r="E71" s="14" t="n">
        <v>64</v>
      </c>
      <c r="F71" s="10" t="n">
        <f aca="false">E71/'Correction factors'!$B$10</f>
        <v>5.1616</v>
      </c>
      <c r="G71" s="11" t="n">
        <v>343</v>
      </c>
    </row>
    <row r="72" customFormat="false" ht="15" hidden="false" customHeight="false" outlineLevel="0" collapsed="false">
      <c r="A72" s="10" t="n">
        <v>16.1635851860046</v>
      </c>
      <c r="B72" s="11" t="n">
        <v>300</v>
      </c>
      <c r="C72" s="12" t="n">
        <f aca="false">B72*'Correction factors'!$B$7</f>
        <v>1451.7</v>
      </c>
      <c r="D72" s="13" t="n">
        <v>5.095605</v>
      </c>
      <c r="E72" s="14" t="n">
        <v>64</v>
      </c>
      <c r="F72" s="10" t="n">
        <f aca="false">E72/'Correction factors'!$B$10</f>
        <v>5.1616</v>
      </c>
      <c r="G72" s="11" t="n">
        <v>343</v>
      </c>
    </row>
    <row r="73" customFormat="false" ht="15" hidden="false" customHeight="false" outlineLevel="0" collapsed="false">
      <c r="A73" s="10" t="n">
        <v>16.1635851860046</v>
      </c>
      <c r="B73" s="11" t="n">
        <v>320</v>
      </c>
      <c r="C73" s="12" t="n">
        <f aca="false">B73*'Correction factors'!$B$7</f>
        <v>1548.48</v>
      </c>
      <c r="D73" s="13" t="n">
        <v>5.213464</v>
      </c>
      <c r="E73" s="14" t="n">
        <v>64</v>
      </c>
      <c r="F73" s="10" t="n">
        <f aca="false">E73/'Correction factors'!$B$10</f>
        <v>5.1616</v>
      </c>
      <c r="G73" s="11" t="n">
        <v>342</v>
      </c>
    </row>
    <row r="74" customFormat="false" ht="15" hidden="false" customHeight="false" outlineLevel="0" collapsed="false">
      <c r="A74" s="10" t="n">
        <v>16.1635851860046</v>
      </c>
      <c r="B74" s="11" t="n">
        <v>320</v>
      </c>
      <c r="C74" s="12" t="n">
        <f aca="false">B74*'Correction factors'!$B$7</f>
        <v>1548.48</v>
      </c>
      <c r="D74" s="13" t="n">
        <v>5.301858</v>
      </c>
      <c r="E74" s="14" t="n">
        <v>56</v>
      </c>
      <c r="F74" s="10" t="n">
        <f aca="false">E74/'Correction factors'!$B$10</f>
        <v>4.5164</v>
      </c>
      <c r="G74" s="11" t="n">
        <v>336</v>
      </c>
    </row>
    <row r="75" customFormat="false" ht="15" hidden="false" customHeight="false" outlineLevel="0" collapsed="false">
      <c r="A75" s="10" t="n">
        <v>16.6829299926758</v>
      </c>
      <c r="B75" s="11" t="n">
        <v>280</v>
      </c>
      <c r="C75" s="12" t="n">
        <f aca="false">B75*'Correction factors'!$B$7</f>
        <v>1354.92</v>
      </c>
      <c r="D75" s="13" t="n">
        <v>5.478647</v>
      </c>
      <c r="E75" s="14" t="n">
        <v>56</v>
      </c>
      <c r="F75" s="10" t="n">
        <f aca="false">E75/'Correction factors'!$B$10</f>
        <v>4.5164</v>
      </c>
      <c r="G75" s="11" t="n">
        <v>331</v>
      </c>
    </row>
    <row r="76" customFormat="false" ht="15" hidden="false" customHeight="false" outlineLevel="0" collapsed="false">
      <c r="A76" s="10" t="n">
        <v>16.6829299926758</v>
      </c>
      <c r="B76" s="11" t="n">
        <v>180</v>
      </c>
      <c r="C76" s="12" t="n">
        <f aca="false">B76*'Correction factors'!$B$7</f>
        <v>871.02</v>
      </c>
      <c r="D76" s="13" t="n">
        <v>5.625971</v>
      </c>
      <c r="E76" s="14" t="n">
        <v>40</v>
      </c>
      <c r="F76" s="10" t="n">
        <f aca="false">E76/'Correction factors'!$B$10</f>
        <v>3.226</v>
      </c>
      <c r="G76" s="11" t="n">
        <v>333</v>
      </c>
    </row>
    <row r="77" customFormat="false" ht="15" hidden="false" customHeight="false" outlineLevel="0" collapsed="false">
      <c r="A77" s="10" t="n">
        <v>17.1607871055603</v>
      </c>
      <c r="B77" s="11" t="n">
        <v>180</v>
      </c>
      <c r="C77" s="12" t="n">
        <f aca="false">B77*'Correction factors'!$B$7</f>
        <v>871.02</v>
      </c>
      <c r="D77" s="13" t="n">
        <v>5.753652</v>
      </c>
      <c r="E77" s="14" t="n">
        <v>40</v>
      </c>
      <c r="F77" s="10" t="n">
        <f aca="false">E77/'Correction factors'!$B$10</f>
        <v>3.226</v>
      </c>
      <c r="G77" s="11" t="n">
        <v>349</v>
      </c>
    </row>
    <row r="78" customFormat="false" ht="15" hidden="false" customHeight="false" outlineLevel="0" collapsed="false">
      <c r="A78" s="10" t="n">
        <v>17.1607871055603</v>
      </c>
      <c r="B78" s="11" t="n">
        <v>200</v>
      </c>
      <c r="C78" s="12" t="n">
        <f aca="false">B78*'Correction factors'!$B$7</f>
        <v>967.8</v>
      </c>
      <c r="D78" s="13" t="n">
        <v>5.86169</v>
      </c>
      <c r="E78" s="14" t="n">
        <v>48</v>
      </c>
      <c r="F78" s="10" t="n">
        <f aca="false">E78/'Correction factors'!$B$10</f>
        <v>3.8712</v>
      </c>
      <c r="G78" s="11" t="n">
        <v>349</v>
      </c>
    </row>
    <row r="79" customFormat="false" ht="15" hidden="false" customHeight="false" outlineLevel="0" collapsed="false">
      <c r="A79" s="10" t="n">
        <v>17.1607871055603</v>
      </c>
      <c r="B79" s="11" t="n">
        <v>220</v>
      </c>
      <c r="C79" s="12" t="n">
        <f aca="false">B79*'Correction factors'!$B$7</f>
        <v>1064.58</v>
      </c>
      <c r="D79" s="13" t="n">
        <v>5.969727</v>
      </c>
      <c r="E79" s="14" t="n">
        <v>40</v>
      </c>
      <c r="F79" s="10" t="n">
        <f aca="false">E79/'Correction factors'!$B$10</f>
        <v>3.226</v>
      </c>
      <c r="G79" s="11" t="n">
        <v>347</v>
      </c>
    </row>
    <row r="80" customFormat="false" ht="15" hidden="false" customHeight="false" outlineLevel="0" collapsed="false">
      <c r="A80" s="10" t="n">
        <v>17.6894428730011</v>
      </c>
      <c r="B80" s="11" t="n">
        <v>220</v>
      </c>
      <c r="C80" s="12" t="n">
        <f aca="false">B80*'Correction factors'!$B$7</f>
        <v>1064.58</v>
      </c>
      <c r="D80" s="13" t="n">
        <v>6.058122</v>
      </c>
      <c r="E80" s="14" t="n">
        <v>48</v>
      </c>
      <c r="F80" s="10" t="n">
        <f aca="false">E80/'Correction factors'!$B$10</f>
        <v>3.8712</v>
      </c>
      <c r="G80" s="11" t="n">
        <v>341</v>
      </c>
    </row>
    <row r="81" customFormat="false" ht="15" hidden="false" customHeight="false" outlineLevel="0" collapsed="false">
      <c r="A81" s="10" t="n">
        <v>17.6894428730011</v>
      </c>
      <c r="B81" s="11" t="n">
        <v>220</v>
      </c>
      <c r="C81" s="12" t="n">
        <f aca="false">B81*'Correction factors'!$B$7</f>
        <v>1064.58</v>
      </c>
      <c r="D81" s="13" t="n">
        <v>6.117051</v>
      </c>
      <c r="E81" s="14" t="n">
        <v>40</v>
      </c>
      <c r="F81" s="10" t="n">
        <f aca="false">E81/'Correction factors'!$B$10</f>
        <v>3.226</v>
      </c>
      <c r="G81" s="11" t="n">
        <v>341</v>
      </c>
    </row>
    <row r="82" customFormat="false" ht="15" hidden="false" customHeight="false" outlineLevel="0" collapsed="false">
      <c r="A82" s="10" t="n">
        <v>18.176614522934</v>
      </c>
      <c r="B82" s="11" t="n">
        <v>220</v>
      </c>
      <c r="C82" s="12" t="n">
        <f aca="false">B82*'Correction factors'!$B$7</f>
        <v>1064.58</v>
      </c>
      <c r="D82" s="13" t="n">
        <v>6.185802</v>
      </c>
      <c r="E82" s="14" t="n">
        <v>48</v>
      </c>
      <c r="F82" s="10" t="n">
        <f aca="false">E82/'Correction factors'!$B$10</f>
        <v>3.8712</v>
      </c>
      <c r="G82" s="11" t="n">
        <v>341</v>
      </c>
    </row>
    <row r="83" customFormat="false" ht="15" hidden="false" customHeight="false" outlineLevel="0" collapsed="false">
      <c r="A83" s="10" t="n">
        <v>18.176614522934</v>
      </c>
      <c r="B83" s="11" t="n">
        <v>240</v>
      </c>
      <c r="C83" s="12" t="n">
        <f aca="false">B83*'Correction factors'!$B$7</f>
        <v>1161.36</v>
      </c>
      <c r="D83" s="13" t="n">
        <v>6.23491</v>
      </c>
      <c r="E83" s="14" t="n">
        <v>48</v>
      </c>
      <c r="F83" s="10" t="n">
        <f aca="false">E83/'Correction factors'!$B$10</f>
        <v>3.8712</v>
      </c>
      <c r="G83" s="11" t="n">
        <v>341</v>
      </c>
    </row>
    <row r="84" customFormat="false" ht="15" hidden="false" customHeight="false" outlineLevel="0" collapsed="false">
      <c r="A84" s="10" t="n">
        <v>18.176614522934</v>
      </c>
      <c r="B84" s="11" t="n">
        <v>240</v>
      </c>
      <c r="C84" s="12" t="n">
        <f aca="false">B84*'Correction factors'!$B$7</f>
        <v>1161.36</v>
      </c>
      <c r="D84" s="13" t="n">
        <v>6.284018</v>
      </c>
      <c r="E84" s="14" t="n">
        <v>48</v>
      </c>
      <c r="F84" s="10" t="n">
        <f aca="false">E84/'Correction factors'!$B$10</f>
        <v>3.8712</v>
      </c>
      <c r="G84" s="11" t="n">
        <v>336</v>
      </c>
    </row>
    <row r="85" customFormat="false" ht="15" hidden="false" customHeight="false" outlineLevel="0" collapsed="false">
      <c r="A85" s="10" t="n">
        <v>18.695604801178</v>
      </c>
      <c r="B85" s="11" t="n">
        <v>240</v>
      </c>
      <c r="C85" s="12" t="n">
        <f aca="false">B85*'Correction factors'!$B$7</f>
        <v>1161.36</v>
      </c>
      <c r="D85" s="13" t="n">
        <v>6.323305</v>
      </c>
      <c r="E85" s="14" t="n">
        <v>48</v>
      </c>
      <c r="F85" s="10" t="n">
        <f aca="false">E85/'Correction factors'!$B$10</f>
        <v>3.8712</v>
      </c>
      <c r="G85" s="11" t="n">
        <v>335</v>
      </c>
    </row>
    <row r="86" customFormat="false" ht="15" hidden="false" customHeight="false" outlineLevel="0" collapsed="false">
      <c r="A86" s="10" t="n">
        <v>18.695604801178</v>
      </c>
      <c r="B86" s="11" t="n">
        <v>240</v>
      </c>
      <c r="C86" s="12" t="n">
        <f aca="false">B86*'Correction factors'!$B$7</f>
        <v>1161.36</v>
      </c>
      <c r="D86" s="13" t="n">
        <v>6.352769</v>
      </c>
      <c r="E86" s="14" t="n">
        <v>48</v>
      </c>
      <c r="F86" s="10" t="n">
        <f aca="false">E86/'Correction factors'!$B$10</f>
        <v>3.8712</v>
      </c>
      <c r="G86" s="11" t="n">
        <v>334</v>
      </c>
    </row>
    <row r="87" customFormat="false" ht="15" hidden="false" customHeight="false" outlineLevel="0" collapsed="false">
      <c r="A87" s="10" t="n">
        <v>19.1668236255646</v>
      </c>
      <c r="B87" s="11" t="n">
        <v>260</v>
      </c>
      <c r="C87" s="12" t="n">
        <f aca="false">B87*'Correction factors'!$B$7</f>
        <v>1258.14</v>
      </c>
      <c r="D87" s="13" t="n">
        <v>6.382234</v>
      </c>
      <c r="E87" s="14" t="n">
        <v>40</v>
      </c>
      <c r="F87" s="10" t="n">
        <f aca="false">E87/'Correction factors'!$B$10</f>
        <v>3.226</v>
      </c>
      <c r="G87" s="11" t="n">
        <v>333</v>
      </c>
    </row>
    <row r="88" customFormat="false" ht="15" hidden="false" customHeight="false" outlineLevel="0" collapsed="false">
      <c r="A88" s="10" t="n">
        <v>19.1668236255646</v>
      </c>
      <c r="B88" s="11" t="n">
        <v>260</v>
      </c>
      <c r="C88" s="12" t="n">
        <f aca="false">B88*'Correction factors'!$B$7</f>
        <v>1258.14</v>
      </c>
      <c r="D88" s="13" t="n">
        <v>6.401877</v>
      </c>
      <c r="E88" s="14" t="n">
        <v>48</v>
      </c>
      <c r="F88" s="10" t="n">
        <f aca="false">E88/'Correction factors'!$B$10</f>
        <v>3.8712</v>
      </c>
      <c r="G88" s="11" t="n">
        <v>329</v>
      </c>
    </row>
    <row r="89" customFormat="false" ht="15" hidden="false" customHeight="false" outlineLevel="0" collapsed="false">
      <c r="A89" s="10" t="n">
        <v>19.6633596420288</v>
      </c>
      <c r="B89" s="11" t="n">
        <v>260</v>
      </c>
      <c r="C89" s="12" t="n">
        <f aca="false">B89*'Correction factors'!$B$7</f>
        <v>1258.14</v>
      </c>
      <c r="D89" s="13" t="n">
        <v>6.42152</v>
      </c>
      <c r="E89" s="14" t="n">
        <v>48</v>
      </c>
      <c r="F89" s="10" t="n">
        <f aca="false">E89/'Correction factors'!$B$10</f>
        <v>3.8712</v>
      </c>
      <c r="G89" s="11" t="n">
        <v>327</v>
      </c>
    </row>
    <row r="90" customFormat="false" ht="15" hidden="false" customHeight="false" outlineLevel="0" collapsed="false">
      <c r="A90" s="10" t="n">
        <v>19.6633596420288</v>
      </c>
      <c r="B90" s="11" t="n">
        <v>240</v>
      </c>
      <c r="C90" s="12" t="n">
        <f aca="false">B90*'Correction factors'!$B$7</f>
        <v>1161.36</v>
      </c>
      <c r="D90" s="13" t="n">
        <v>6.450985</v>
      </c>
      <c r="E90" s="14" t="n">
        <v>48</v>
      </c>
      <c r="F90" s="10" t="n">
        <f aca="false">E90/'Correction factors'!$B$10</f>
        <v>3.8712</v>
      </c>
      <c r="G90" s="11" t="n">
        <v>327</v>
      </c>
    </row>
    <row r="91" customFormat="false" ht="15" hidden="false" customHeight="false" outlineLevel="0" collapsed="false">
      <c r="A91" s="10" t="n">
        <v>19.6633596420288</v>
      </c>
      <c r="B91" s="11" t="n">
        <v>220</v>
      </c>
      <c r="C91" s="12" t="n">
        <f aca="false">B91*'Correction factors'!$B$7</f>
        <v>1064.58</v>
      </c>
      <c r="D91" s="13" t="n">
        <v>6.470628</v>
      </c>
      <c r="E91" s="14" t="n">
        <v>40</v>
      </c>
      <c r="F91" s="10" t="n">
        <f aca="false">E91/'Correction factors'!$B$10</f>
        <v>3.226</v>
      </c>
      <c r="G91" s="11" t="n">
        <v>327</v>
      </c>
    </row>
    <row r="92" customFormat="false" ht="15" hidden="false" customHeight="false" outlineLevel="0" collapsed="false">
      <c r="A92" s="10" t="n">
        <v>20.1767811775208</v>
      </c>
      <c r="B92" s="11" t="n">
        <v>220</v>
      </c>
      <c r="C92" s="12" t="n">
        <f aca="false">B92*'Correction factors'!$B$7</f>
        <v>1064.58</v>
      </c>
      <c r="D92" s="13" t="n">
        <v>6.490272</v>
      </c>
      <c r="E92" s="14" t="n">
        <v>48</v>
      </c>
      <c r="F92" s="10" t="n">
        <f aca="false">E92/'Correction factors'!$B$10</f>
        <v>3.8712</v>
      </c>
      <c r="G92" s="11" t="n">
        <v>329</v>
      </c>
    </row>
    <row r="93" customFormat="false" ht="15" hidden="false" customHeight="false" outlineLevel="0" collapsed="false">
      <c r="A93" s="10" t="n">
        <v>20.1767811775208</v>
      </c>
      <c r="B93" s="11" t="n">
        <v>240</v>
      </c>
      <c r="C93" s="12" t="n">
        <f aca="false">B93*'Correction factors'!$B$7</f>
        <v>1161.36</v>
      </c>
      <c r="D93" s="13" t="n">
        <v>6.490272</v>
      </c>
      <c r="E93" s="14" t="n">
        <v>40</v>
      </c>
      <c r="F93" s="10" t="n">
        <f aca="false">E93/'Correction factors'!$B$10</f>
        <v>3.226</v>
      </c>
      <c r="G93" s="11" t="n">
        <v>328</v>
      </c>
    </row>
    <row r="94" customFormat="false" ht="15" hidden="false" customHeight="false" outlineLevel="0" collapsed="false">
      <c r="A94" s="10" t="n">
        <v>20.678323507309</v>
      </c>
      <c r="B94" s="11" t="n">
        <v>240</v>
      </c>
      <c r="C94" s="12" t="n">
        <f aca="false">B94*'Correction factors'!$B$7</f>
        <v>1161.36</v>
      </c>
      <c r="D94" s="13" t="n">
        <v>6.500093</v>
      </c>
      <c r="E94" s="14" t="n">
        <v>40</v>
      </c>
      <c r="F94" s="10" t="n">
        <f aca="false">E94/'Correction factors'!$B$10</f>
        <v>3.226</v>
      </c>
      <c r="G94" s="11" t="n">
        <v>327</v>
      </c>
    </row>
    <row r="95" customFormat="false" ht="15" hidden="false" customHeight="false" outlineLevel="0" collapsed="false">
      <c r="A95" s="10" t="n">
        <v>20.678323507309</v>
      </c>
      <c r="B95" s="11" t="n">
        <v>220</v>
      </c>
      <c r="C95" s="12" t="n">
        <f aca="false">B95*'Correction factors'!$B$7</f>
        <v>1064.58</v>
      </c>
      <c r="D95" s="13" t="n">
        <v>6.509915</v>
      </c>
      <c r="E95" s="14" t="n">
        <v>48</v>
      </c>
      <c r="F95" s="10" t="n">
        <f aca="false">E95/'Correction factors'!$B$10</f>
        <v>3.8712</v>
      </c>
      <c r="G95" s="11" t="n">
        <v>326</v>
      </c>
    </row>
    <row r="96" customFormat="false" ht="15" hidden="false" customHeight="false" outlineLevel="0" collapsed="false">
      <c r="A96" s="10" t="n">
        <v>20.678323507309</v>
      </c>
      <c r="B96" s="11" t="n">
        <v>220</v>
      </c>
      <c r="C96" s="12" t="n">
        <f aca="false">B96*'Correction factors'!$B$7</f>
        <v>1064.58</v>
      </c>
      <c r="D96" s="13" t="n">
        <v>6.519736</v>
      </c>
      <c r="E96" s="14" t="n">
        <v>40</v>
      </c>
      <c r="F96" s="10" t="n">
        <f aca="false">E96/'Correction factors'!$B$10</f>
        <v>3.226</v>
      </c>
      <c r="G96" s="11" t="n">
        <v>326</v>
      </c>
    </row>
    <row r="97" customFormat="false" ht="15" hidden="false" customHeight="false" outlineLevel="0" collapsed="false">
      <c r="A97" s="10" t="n">
        <v>21.1948728561401</v>
      </c>
      <c r="B97" s="11" t="n">
        <v>200</v>
      </c>
      <c r="C97" s="12" t="n">
        <f aca="false">B97*'Correction factors'!$B$7</f>
        <v>967.8</v>
      </c>
      <c r="D97" s="13" t="n">
        <v>6.509915</v>
      </c>
      <c r="E97" s="14" t="n">
        <v>40</v>
      </c>
      <c r="F97" s="10" t="n">
        <f aca="false">E97/'Correction factors'!$B$10</f>
        <v>3.226</v>
      </c>
      <c r="G97" s="11" t="n">
        <v>326</v>
      </c>
    </row>
    <row r="98" customFormat="false" ht="15" hidden="false" customHeight="false" outlineLevel="0" collapsed="false">
      <c r="A98" s="10" t="n">
        <v>21.1948728561401</v>
      </c>
      <c r="B98" s="11" t="n">
        <v>200</v>
      </c>
      <c r="C98" s="12" t="n">
        <f aca="false">B98*'Correction factors'!$B$7</f>
        <v>967.8</v>
      </c>
      <c r="D98" s="13" t="n">
        <v>6.509915</v>
      </c>
      <c r="E98" s="14" t="n">
        <v>40</v>
      </c>
      <c r="F98" s="10" t="n">
        <f aca="false">E98/'Correction factors'!$B$10</f>
        <v>3.226</v>
      </c>
      <c r="G98" s="11" t="n">
        <v>327</v>
      </c>
    </row>
    <row r="99" customFormat="false" ht="15" hidden="false" customHeight="false" outlineLevel="0" collapsed="false">
      <c r="A99" s="10" t="n">
        <v>21.6408228874207</v>
      </c>
      <c r="B99" s="11" t="n">
        <v>220</v>
      </c>
      <c r="C99" s="12" t="n">
        <f aca="false">B99*'Correction factors'!$B$7</f>
        <v>1064.58</v>
      </c>
      <c r="D99" s="13" t="n">
        <v>6.509915</v>
      </c>
      <c r="E99" s="14" t="n">
        <v>40</v>
      </c>
      <c r="F99" s="10" t="n">
        <f aca="false">E99/'Correction factors'!$B$10</f>
        <v>3.226</v>
      </c>
      <c r="G99" s="11" t="n">
        <v>328</v>
      </c>
    </row>
    <row r="100" customFormat="false" ht="15" hidden="false" customHeight="false" outlineLevel="0" collapsed="false">
      <c r="A100" s="10" t="n">
        <v>21.6408228874207</v>
      </c>
      <c r="B100" s="11" t="n">
        <v>220</v>
      </c>
      <c r="C100" s="12" t="n">
        <f aca="false">B100*'Correction factors'!$B$7</f>
        <v>1064.58</v>
      </c>
      <c r="D100" s="13" t="n">
        <v>6.509915</v>
      </c>
      <c r="E100" s="14" t="n">
        <v>48</v>
      </c>
      <c r="F100" s="10" t="n">
        <f aca="false">E100/'Correction factors'!$B$10</f>
        <v>3.8712</v>
      </c>
      <c r="G100" s="11" t="n">
        <v>327</v>
      </c>
    </row>
    <row r="101" customFormat="false" ht="15" hidden="false" customHeight="false" outlineLevel="0" collapsed="false">
      <c r="A101" s="10" t="n">
        <v>22.0876007080078</v>
      </c>
      <c r="B101" s="11" t="n">
        <v>220</v>
      </c>
      <c r="C101" s="12" t="n">
        <f aca="false">B101*'Correction factors'!$B$7</f>
        <v>1064.58</v>
      </c>
      <c r="D101" s="13" t="n">
        <v>6.490272</v>
      </c>
      <c r="E101" s="14" t="n">
        <v>40</v>
      </c>
      <c r="F101" s="10" t="n">
        <f aca="false">E101/'Correction factors'!$B$10</f>
        <v>3.226</v>
      </c>
      <c r="G101" s="11" t="n">
        <v>325</v>
      </c>
    </row>
    <row r="102" customFormat="false" ht="15" hidden="false" customHeight="false" outlineLevel="0" collapsed="false">
      <c r="A102" s="10" t="n">
        <v>22.0876007080078</v>
      </c>
      <c r="B102" s="11" t="n">
        <v>200</v>
      </c>
      <c r="C102" s="12" t="n">
        <f aca="false">B102*'Correction factors'!$B$7</f>
        <v>967.8</v>
      </c>
      <c r="D102" s="13" t="n">
        <v>6.490272</v>
      </c>
      <c r="E102" s="14" t="n">
        <v>40</v>
      </c>
      <c r="F102" s="10" t="n">
        <f aca="false">E102/'Correction factors'!$B$10</f>
        <v>3.226</v>
      </c>
      <c r="G102" s="11" t="n">
        <v>325</v>
      </c>
    </row>
    <row r="103" customFormat="false" ht="15" hidden="false" customHeight="false" outlineLevel="0" collapsed="false">
      <c r="A103" s="10" t="n">
        <v>22.5357053279877</v>
      </c>
      <c r="B103" s="11" t="n">
        <v>200</v>
      </c>
      <c r="C103" s="12" t="n">
        <f aca="false">B103*'Correction factors'!$B$7</f>
        <v>967.8</v>
      </c>
      <c r="D103" s="13" t="n">
        <v>6.490272</v>
      </c>
      <c r="E103" s="14" t="n">
        <v>40</v>
      </c>
      <c r="F103" s="10" t="n">
        <f aca="false">E103/'Correction factors'!$B$10</f>
        <v>3.226</v>
      </c>
      <c r="G103" s="11" t="n">
        <v>326</v>
      </c>
    </row>
    <row r="104" customFormat="false" ht="15" hidden="false" customHeight="false" outlineLevel="0" collapsed="false">
      <c r="A104" s="10" t="n">
        <v>22.5357053279877</v>
      </c>
      <c r="B104" s="11" t="n">
        <v>180</v>
      </c>
      <c r="C104" s="12" t="n">
        <f aca="false">B104*'Correction factors'!$B$7</f>
        <v>871.02</v>
      </c>
      <c r="D104" s="13" t="n">
        <v>6.48045</v>
      </c>
      <c r="E104" s="14" t="n">
        <v>40</v>
      </c>
      <c r="F104" s="10" t="n">
        <f aca="false">E104/'Correction factors'!$B$10</f>
        <v>3.226</v>
      </c>
      <c r="G104" s="11" t="n">
        <v>326</v>
      </c>
    </row>
    <row r="105" customFormat="false" ht="15" hidden="false" customHeight="false" outlineLevel="0" collapsed="false">
      <c r="A105" s="10" t="n">
        <v>22.5357053279877</v>
      </c>
      <c r="B105" s="11" t="n">
        <v>200</v>
      </c>
      <c r="C105" s="12" t="n">
        <f aca="false">B105*'Correction factors'!$B$7</f>
        <v>967.8</v>
      </c>
      <c r="D105" s="13" t="n">
        <v>6.460807</v>
      </c>
      <c r="E105" s="14" t="n">
        <v>40</v>
      </c>
      <c r="F105" s="10" t="n">
        <f aca="false">E105/'Correction factors'!$B$10</f>
        <v>3.226</v>
      </c>
      <c r="G105" s="11" t="n">
        <v>327</v>
      </c>
    </row>
    <row r="106" customFormat="false" ht="15" hidden="false" customHeight="false" outlineLevel="0" collapsed="false">
      <c r="A106" s="10" t="n">
        <v>23.0089886188507</v>
      </c>
      <c r="B106" s="11" t="n">
        <v>200</v>
      </c>
      <c r="C106" s="12" t="n">
        <f aca="false">B106*'Correction factors'!$B$7</f>
        <v>967.8</v>
      </c>
      <c r="D106" s="13" t="n">
        <v>6.450985</v>
      </c>
      <c r="E106" s="14" t="n">
        <v>40</v>
      </c>
      <c r="F106" s="10" t="n">
        <f aca="false">E106/'Correction factors'!$B$10</f>
        <v>3.226</v>
      </c>
      <c r="G106" s="11" t="n">
        <v>327</v>
      </c>
    </row>
    <row r="107" customFormat="false" ht="15" hidden="false" customHeight="false" outlineLevel="0" collapsed="false">
      <c r="A107" s="10" t="n">
        <v>23.0089886188507</v>
      </c>
      <c r="B107" s="11" t="n">
        <v>220</v>
      </c>
      <c r="C107" s="12" t="n">
        <f aca="false">B107*'Correction factors'!$B$7</f>
        <v>1064.58</v>
      </c>
      <c r="D107" s="13" t="n">
        <v>6.441164</v>
      </c>
      <c r="E107" s="14" t="n">
        <v>40</v>
      </c>
      <c r="F107" s="10" t="n">
        <f aca="false">E107/'Correction factors'!$B$10</f>
        <v>3.226</v>
      </c>
      <c r="G107" s="11" t="n">
        <v>327</v>
      </c>
    </row>
    <row r="108" customFormat="false" ht="15" hidden="false" customHeight="false" outlineLevel="0" collapsed="false">
      <c r="A108" s="10" t="n">
        <v>23.435275554657</v>
      </c>
      <c r="B108" s="11" t="n">
        <v>200</v>
      </c>
      <c r="C108" s="12" t="n">
        <f aca="false">B108*'Correction factors'!$B$7</f>
        <v>967.8</v>
      </c>
      <c r="D108" s="13" t="n">
        <v>6.42152</v>
      </c>
      <c r="E108" s="14" t="n">
        <v>40</v>
      </c>
      <c r="F108" s="10" t="n">
        <f aca="false">E108/'Correction factors'!$B$10</f>
        <v>3.226</v>
      </c>
      <c r="G108" s="11" t="n">
        <v>325</v>
      </c>
    </row>
    <row r="109" customFormat="false" ht="15" hidden="false" customHeight="false" outlineLevel="0" collapsed="false">
      <c r="A109" s="10" t="n">
        <v>23.435275554657</v>
      </c>
      <c r="B109" s="11" t="n">
        <v>200</v>
      </c>
      <c r="C109" s="12" t="n">
        <f aca="false">B109*'Correction factors'!$B$7</f>
        <v>967.8</v>
      </c>
      <c r="D109" s="13" t="n">
        <v>6.411699</v>
      </c>
      <c r="E109" s="14" t="n">
        <v>40</v>
      </c>
      <c r="F109" s="10" t="n">
        <f aca="false">E109/'Correction factors'!$B$10</f>
        <v>3.226</v>
      </c>
      <c r="G109" s="11" t="n">
        <v>326</v>
      </c>
    </row>
    <row r="110" customFormat="false" ht="15" hidden="false" customHeight="false" outlineLevel="0" collapsed="false">
      <c r="A110" s="10" t="n">
        <v>23.8534529209137</v>
      </c>
      <c r="B110" s="11" t="n">
        <v>200</v>
      </c>
      <c r="C110" s="12" t="n">
        <f aca="false">B110*'Correction factors'!$B$7</f>
        <v>967.8</v>
      </c>
      <c r="D110" s="13" t="n">
        <v>6.401877</v>
      </c>
      <c r="E110" s="14" t="n">
        <v>40</v>
      </c>
      <c r="F110" s="10" t="n">
        <f aca="false">E110/'Correction factors'!$B$10</f>
        <v>3.226</v>
      </c>
      <c r="G110" s="11" t="n">
        <v>326</v>
      </c>
    </row>
    <row r="111" customFormat="false" ht="15" hidden="false" customHeight="false" outlineLevel="0" collapsed="false">
      <c r="A111" s="10" t="n">
        <v>23.8534529209137</v>
      </c>
      <c r="B111" s="11" t="n">
        <v>200</v>
      </c>
      <c r="C111" s="12" t="n">
        <f aca="false">B111*'Correction factors'!$B$7</f>
        <v>967.8</v>
      </c>
      <c r="D111" s="13" t="n">
        <v>6.392056</v>
      </c>
      <c r="E111" s="14" t="n">
        <v>48</v>
      </c>
      <c r="F111" s="10" t="n">
        <f aca="false">E111/'Correction factors'!$B$10</f>
        <v>3.8712</v>
      </c>
      <c r="G111" s="11" t="n">
        <v>326</v>
      </c>
    </row>
    <row r="112" customFormat="false" ht="15" hidden="false" customHeight="false" outlineLevel="0" collapsed="false">
      <c r="A112" s="10" t="n">
        <v>24.2730202674866</v>
      </c>
      <c r="B112" s="11" t="n">
        <v>200</v>
      </c>
      <c r="C112" s="12" t="n">
        <f aca="false">B112*'Correction factors'!$B$7</f>
        <v>967.8</v>
      </c>
      <c r="D112" s="13" t="n">
        <v>6.382234</v>
      </c>
      <c r="E112" s="14" t="n">
        <v>56</v>
      </c>
      <c r="F112" s="10" t="n">
        <f aca="false">E112/'Correction factors'!$B$10</f>
        <v>4.5164</v>
      </c>
      <c r="G112" s="11" t="n">
        <v>327</v>
      </c>
    </row>
    <row r="113" customFormat="false" ht="15" hidden="false" customHeight="false" outlineLevel="0" collapsed="false">
      <c r="A113" s="10" t="n">
        <v>24.2730202674866</v>
      </c>
      <c r="B113" s="11" t="n">
        <v>200</v>
      </c>
      <c r="C113" s="12" t="n">
        <f aca="false">B113*'Correction factors'!$B$7</f>
        <v>967.8</v>
      </c>
      <c r="D113" s="13" t="n">
        <v>6.362591</v>
      </c>
      <c r="E113" s="14" t="n">
        <v>56</v>
      </c>
      <c r="F113" s="10" t="n">
        <f aca="false">E113/'Correction factors'!$B$10</f>
        <v>4.5164</v>
      </c>
      <c r="G113" s="11" t="n">
        <v>327</v>
      </c>
    </row>
    <row r="114" customFormat="false" ht="15" hidden="false" customHeight="false" outlineLevel="0" collapsed="false">
      <c r="A114" s="10" t="n">
        <v>24.7056543827057</v>
      </c>
      <c r="B114" s="11" t="n">
        <v>180</v>
      </c>
      <c r="C114" s="12" t="n">
        <f aca="false">B114*'Correction factors'!$B$7</f>
        <v>871.02</v>
      </c>
      <c r="D114" s="13" t="n">
        <v>6.342947</v>
      </c>
      <c r="E114" s="14" t="n">
        <v>56</v>
      </c>
      <c r="F114" s="10" t="n">
        <f aca="false">E114/'Correction factors'!$B$10</f>
        <v>4.5164</v>
      </c>
      <c r="G114" s="11" t="n">
        <v>326</v>
      </c>
    </row>
    <row r="115" customFormat="false" ht="15" hidden="false" customHeight="false" outlineLevel="0" collapsed="false">
      <c r="A115" s="10" t="n">
        <v>24.7056543827057</v>
      </c>
      <c r="B115" s="11" t="n">
        <v>180</v>
      </c>
      <c r="C115" s="12" t="n">
        <f aca="false">B115*'Correction factors'!$B$7</f>
        <v>871.02</v>
      </c>
      <c r="D115" s="13" t="n">
        <v>6.333126</v>
      </c>
      <c r="E115" s="14" t="n">
        <v>48</v>
      </c>
      <c r="F115" s="10" t="n">
        <f aca="false">E115/'Correction factors'!$B$10</f>
        <v>3.8712</v>
      </c>
      <c r="G115" s="11" t="n">
        <v>327</v>
      </c>
    </row>
    <row r="116" customFormat="false" ht="15" hidden="false" customHeight="false" outlineLevel="0" collapsed="false">
      <c r="A116" s="10" t="n">
        <v>25.1457321643829</v>
      </c>
      <c r="B116" s="11" t="n">
        <v>180</v>
      </c>
      <c r="C116" s="12" t="n">
        <f aca="false">B116*'Correction factors'!$B$7</f>
        <v>871.02</v>
      </c>
      <c r="D116" s="13" t="n">
        <v>6.313483</v>
      </c>
      <c r="E116" s="14" t="n">
        <v>56</v>
      </c>
      <c r="F116" s="10" t="n">
        <f aca="false">E116/'Correction factors'!$B$10</f>
        <v>4.5164</v>
      </c>
      <c r="G116" s="11" t="n">
        <v>328</v>
      </c>
    </row>
    <row r="117" customFormat="false" ht="15" hidden="false" customHeight="false" outlineLevel="0" collapsed="false">
      <c r="A117" s="10" t="n">
        <v>25.1457321643829</v>
      </c>
      <c r="B117" s="11" t="n">
        <v>180</v>
      </c>
      <c r="C117" s="12" t="n">
        <f aca="false">B117*'Correction factors'!$B$7</f>
        <v>871.02</v>
      </c>
      <c r="D117" s="13" t="n">
        <v>6.303661</v>
      </c>
      <c r="E117" s="14" t="n">
        <v>48</v>
      </c>
      <c r="F117" s="10" t="n">
        <f aca="false">E117/'Correction factors'!$B$10</f>
        <v>3.8712</v>
      </c>
      <c r="G117" s="11" t="n">
        <v>328</v>
      </c>
    </row>
    <row r="118" customFormat="false" ht="15" hidden="false" customHeight="false" outlineLevel="0" collapsed="false">
      <c r="A118" s="10" t="n">
        <v>25.6193652153015</v>
      </c>
      <c r="B118" s="11" t="n">
        <v>200</v>
      </c>
      <c r="C118" s="12" t="n">
        <f aca="false">B118*'Correction factors'!$B$7</f>
        <v>967.8</v>
      </c>
      <c r="D118" s="13" t="n">
        <v>6.284018</v>
      </c>
      <c r="E118" s="14" t="n">
        <v>56</v>
      </c>
      <c r="F118" s="10" t="n">
        <f aca="false">E118/'Correction factors'!$B$10</f>
        <v>4.5164</v>
      </c>
      <c r="G118" s="11" t="n">
        <v>329</v>
      </c>
    </row>
    <row r="119" customFormat="false" ht="15" hidden="false" customHeight="false" outlineLevel="0" collapsed="false">
      <c r="A119" s="10" t="n">
        <v>25.6193652153015</v>
      </c>
      <c r="B119" s="11" t="n">
        <v>200</v>
      </c>
      <c r="C119" s="12" t="n">
        <f aca="false">B119*'Correction factors'!$B$7</f>
        <v>967.8</v>
      </c>
      <c r="D119" s="13" t="n">
        <v>6.264375</v>
      </c>
      <c r="E119" s="14" t="n">
        <v>56</v>
      </c>
      <c r="F119" s="10" t="n">
        <f aca="false">E119/'Correction factors'!$B$10</f>
        <v>4.5164</v>
      </c>
      <c r="G119" s="11" t="n">
        <v>327</v>
      </c>
    </row>
    <row r="120" customFormat="false" ht="15" hidden="false" customHeight="false" outlineLevel="0" collapsed="false">
      <c r="A120" s="10" t="n">
        <v>25.6193652153015</v>
      </c>
      <c r="B120" s="11" t="n">
        <v>180</v>
      </c>
      <c r="C120" s="12" t="n">
        <f aca="false">B120*'Correction factors'!$B$7</f>
        <v>871.02</v>
      </c>
      <c r="D120" s="13" t="n">
        <v>6.244732</v>
      </c>
      <c r="E120" s="14" t="n">
        <v>56</v>
      </c>
      <c r="F120" s="10" t="n">
        <f aca="false">E120/'Correction factors'!$B$10</f>
        <v>4.5164</v>
      </c>
      <c r="G120" s="11" t="n">
        <v>328</v>
      </c>
    </row>
    <row r="121" customFormat="false" ht="15" hidden="false" customHeight="false" outlineLevel="0" collapsed="false">
      <c r="A121" s="10" t="n">
        <v>26.1221563816071</v>
      </c>
      <c r="B121" s="11" t="n">
        <v>180</v>
      </c>
      <c r="C121" s="12" t="n">
        <f aca="false">B121*'Correction factors'!$B$7</f>
        <v>871.02</v>
      </c>
      <c r="D121" s="13" t="n">
        <v>6.225088</v>
      </c>
      <c r="E121" s="14" t="n">
        <v>48</v>
      </c>
      <c r="F121" s="10" t="n">
        <f aca="false">E121/'Correction factors'!$B$10</f>
        <v>3.8712</v>
      </c>
      <c r="G121" s="11" t="n">
        <v>329</v>
      </c>
    </row>
    <row r="122" customFormat="false" ht="15" hidden="false" customHeight="false" outlineLevel="0" collapsed="false">
      <c r="A122" s="10" t="n">
        <v>26.1221563816071</v>
      </c>
      <c r="B122" s="11" t="n">
        <v>180</v>
      </c>
      <c r="C122" s="12" t="n">
        <f aca="false">B122*'Correction factors'!$B$7</f>
        <v>871.02</v>
      </c>
      <c r="D122" s="13" t="n">
        <v>6.205445</v>
      </c>
      <c r="E122" s="14" t="n">
        <v>56</v>
      </c>
      <c r="F122" s="10" t="n">
        <f aca="false">E122/'Correction factors'!$B$10</f>
        <v>4.5164</v>
      </c>
      <c r="G122" s="11" t="n">
        <v>329</v>
      </c>
    </row>
    <row r="123" customFormat="false" ht="15" hidden="false" customHeight="false" outlineLevel="0" collapsed="false">
      <c r="A123" s="10" t="n">
        <v>26.5509243011475</v>
      </c>
      <c r="B123" s="11" t="n">
        <v>180</v>
      </c>
      <c r="C123" s="12" t="n">
        <f aca="false">B123*'Correction factors'!$B$7</f>
        <v>871.02</v>
      </c>
      <c r="D123" s="13" t="n">
        <v>6.195624</v>
      </c>
      <c r="E123" s="14" t="n">
        <v>56</v>
      </c>
      <c r="F123" s="10" t="n">
        <f aca="false">E123/'Correction factors'!$B$10</f>
        <v>4.5164</v>
      </c>
      <c r="G123" s="11" t="n">
        <v>329</v>
      </c>
    </row>
    <row r="124" customFormat="false" ht="15" hidden="false" customHeight="false" outlineLevel="0" collapsed="false">
      <c r="A124" s="10" t="n">
        <v>26.5509243011475</v>
      </c>
      <c r="B124" s="11" t="n">
        <v>180</v>
      </c>
      <c r="C124" s="12" t="n">
        <f aca="false">B124*'Correction factors'!$B$7</f>
        <v>871.02</v>
      </c>
      <c r="D124" s="13" t="n">
        <v>6.166159</v>
      </c>
      <c r="E124" s="14" t="n">
        <v>48</v>
      </c>
      <c r="F124" s="10" t="n">
        <f aca="false">E124/'Correction factors'!$B$10</f>
        <v>3.8712</v>
      </c>
      <c r="G124" s="11" t="n">
        <v>332</v>
      </c>
    </row>
    <row r="125" customFormat="false" ht="15" hidden="false" customHeight="false" outlineLevel="0" collapsed="false">
      <c r="A125" s="10" t="n">
        <v>26.9817941188812</v>
      </c>
      <c r="B125" s="11" t="n">
        <v>200</v>
      </c>
      <c r="C125" s="12" t="n">
        <f aca="false">B125*'Correction factors'!$B$7</f>
        <v>967.8</v>
      </c>
      <c r="D125" s="13" t="n">
        <v>6.156337</v>
      </c>
      <c r="E125" s="14" t="n">
        <v>56</v>
      </c>
      <c r="F125" s="10" t="n">
        <f aca="false">E125/'Correction factors'!$B$10</f>
        <v>4.5164</v>
      </c>
      <c r="G125" s="11" t="n">
        <v>332</v>
      </c>
    </row>
    <row r="126" customFormat="false" ht="15" hidden="false" customHeight="false" outlineLevel="0" collapsed="false">
      <c r="A126" s="10" t="n">
        <v>26.9817941188812</v>
      </c>
      <c r="B126" s="11" t="n">
        <v>200</v>
      </c>
      <c r="C126" s="12" t="n">
        <f aca="false">B126*'Correction factors'!$B$7</f>
        <v>967.8</v>
      </c>
      <c r="D126" s="13" t="n">
        <v>6.136694</v>
      </c>
      <c r="E126" s="14" t="n">
        <v>56</v>
      </c>
      <c r="F126" s="10" t="n">
        <f aca="false">E126/'Correction factors'!$B$10</f>
        <v>4.5164</v>
      </c>
      <c r="G126" s="11" t="n">
        <v>332</v>
      </c>
    </row>
    <row r="127" customFormat="false" ht="15" hidden="false" customHeight="false" outlineLevel="0" collapsed="false">
      <c r="A127" s="10" t="n">
        <v>27.4262557029724</v>
      </c>
      <c r="B127" s="11" t="n">
        <v>200</v>
      </c>
      <c r="C127" s="12" t="n">
        <f aca="false">B127*'Correction factors'!$B$7</f>
        <v>967.8</v>
      </c>
      <c r="D127" s="13" t="n">
        <v>6.117051</v>
      </c>
      <c r="E127" s="14" t="n">
        <v>56</v>
      </c>
      <c r="F127" s="10" t="n">
        <f aca="false">E127/'Correction factors'!$B$10</f>
        <v>4.5164</v>
      </c>
      <c r="G127" s="11" t="n">
        <v>332</v>
      </c>
    </row>
    <row r="128" customFormat="false" ht="15" hidden="false" customHeight="false" outlineLevel="0" collapsed="false">
      <c r="A128" s="10" t="n">
        <v>27.4262557029724</v>
      </c>
      <c r="B128" s="11" t="n">
        <v>200</v>
      </c>
      <c r="C128" s="12" t="n">
        <f aca="false">B128*'Correction factors'!$B$7</f>
        <v>967.8</v>
      </c>
      <c r="D128" s="13" t="n">
        <v>6.087586</v>
      </c>
      <c r="E128" s="14" t="n">
        <v>56</v>
      </c>
      <c r="F128" s="10" t="n">
        <f aca="false">E128/'Correction factors'!$B$10</f>
        <v>4.5164</v>
      </c>
      <c r="G128" s="11" t="n">
        <v>331</v>
      </c>
    </row>
    <row r="129" customFormat="false" ht="15" hidden="false" customHeight="false" outlineLevel="0" collapsed="false">
      <c r="A129" s="10" t="n">
        <v>27.8605442047119</v>
      </c>
      <c r="B129" s="11" t="n">
        <v>180</v>
      </c>
      <c r="C129" s="12" t="n">
        <f aca="false">B129*'Correction factors'!$B$7</f>
        <v>871.02</v>
      </c>
      <c r="D129" s="13" t="n">
        <v>6.077765</v>
      </c>
      <c r="E129" s="14" t="n">
        <v>56</v>
      </c>
      <c r="F129" s="10" t="n">
        <f aca="false">E129/'Correction factors'!$B$10</f>
        <v>4.5164</v>
      </c>
      <c r="G129" s="11" t="n">
        <v>331</v>
      </c>
    </row>
    <row r="130" customFormat="false" ht="15" hidden="false" customHeight="false" outlineLevel="0" collapsed="false">
      <c r="A130" s="10" t="n">
        <v>27.8605442047119</v>
      </c>
      <c r="B130" s="11" t="n">
        <v>200</v>
      </c>
      <c r="C130" s="12" t="n">
        <f aca="false">B130*'Correction factors'!$B$7</f>
        <v>967.8</v>
      </c>
      <c r="D130" s="13" t="n">
        <v>6.0483</v>
      </c>
      <c r="E130" s="14" t="n">
        <v>56</v>
      </c>
      <c r="F130" s="10" t="n">
        <f aca="false">E130/'Correction factors'!$B$10</f>
        <v>4.5164</v>
      </c>
      <c r="G130" s="11" t="n">
        <v>332</v>
      </c>
    </row>
    <row r="131" customFormat="false" ht="15" hidden="false" customHeight="false" outlineLevel="0" collapsed="false">
      <c r="A131" s="10" t="n">
        <v>28.2937157154083</v>
      </c>
      <c r="B131" s="11" t="n">
        <v>180</v>
      </c>
      <c r="C131" s="12" t="n">
        <f aca="false">B131*'Correction factors'!$B$7</f>
        <v>871.02</v>
      </c>
      <c r="D131" s="13" t="n">
        <v>6.038478</v>
      </c>
      <c r="E131" s="14" t="n">
        <v>56</v>
      </c>
      <c r="F131" s="10" t="n">
        <f aca="false">E131/'Correction factors'!$B$10</f>
        <v>4.5164</v>
      </c>
      <c r="G131" s="11" t="n">
        <v>332</v>
      </c>
    </row>
    <row r="132" customFormat="false" ht="15" hidden="false" customHeight="false" outlineLevel="0" collapsed="false">
      <c r="A132" s="10" t="n">
        <v>28.2937157154083</v>
      </c>
      <c r="B132" s="11" t="n">
        <v>180</v>
      </c>
      <c r="C132" s="12" t="n">
        <f aca="false">B132*'Correction factors'!$B$7</f>
        <v>871.02</v>
      </c>
      <c r="D132" s="13" t="n">
        <v>6.018835</v>
      </c>
      <c r="E132" s="14" t="n">
        <v>56</v>
      </c>
      <c r="F132" s="10" t="n">
        <f aca="false">E132/'Correction factors'!$B$10</f>
        <v>4.5164</v>
      </c>
      <c r="G132" s="11" t="n">
        <v>332</v>
      </c>
    </row>
    <row r="133" customFormat="false" ht="15" hidden="false" customHeight="false" outlineLevel="0" collapsed="false">
      <c r="A133" s="10" t="n">
        <v>28.7340352535248</v>
      </c>
      <c r="B133" s="11" t="n">
        <v>180</v>
      </c>
      <c r="C133" s="12" t="n">
        <f aca="false">B133*'Correction factors'!$B$7</f>
        <v>871.02</v>
      </c>
      <c r="D133" s="13" t="n">
        <v>5.999192</v>
      </c>
      <c r="E133" s="14" t="n">
        <v>56</v>
      </c>
      <c r="F133" s="10" t="n">
        <f aca="false">E133/'Correction factors'!$B$10</f>
        <v>4.5164</v>
      </c>
      <c r="G133" s="11" t="n">
        <v>335</v>
      </c>
    </row>
    <row r="134" customFormat="false" ht="15" hidden="false" customHeight="false" outlineLevel="0" collapsed="false">
      <c r="A134" s="10" t="n">
        <v>28.7340352535248</v>
      </c>
      <c r="B134" s="11" t="n">
        <v>200</v>
      </c>
      <c r="C134" s="12" t="n">
        <f aca="false">B134*'Correction factors'!$B$7</f>
        <v>967.8</v>
      </c>
      <c r="D134" s="13" t="n">
        <v>5.98937</v>
      </c>
      <c r="E134" s="14" t="n">
        <v>56</v>
      </c>
      <c r="F134" s="10" t="n">
        <f aca="false">E134/'Correction factors'!$B$10</f>
        <v>4.5164</v>
      </c>
      <c r="G134" s="11" t="n">
        <v>334</v>
      </c>
    </row>
    <row r="135" customFormat="false" ht="15" hidden="false" customHeight="false" outlineLevel="0" collapsed="false">
      <c r="A135" s="10" t="n">
        <v>28.7340352535248</v>
      </c>
      <c r="B135" s="11" t="n">
        <v>180</v>
      </c>
      <c r="C135" s="12" t="n">
        <f aca="false">B135*'Correction factors'!$B$7</f>
        <v>871.02</v>
      </c>
      <c r="D135" s="13" t="n">
        <v>5.959905</v>
      </c>
      <c r="E135" s="14" t="n">
        <v>56</v>
      </c>
      <c r="F135" s="10" t="n">
        <f aca="false">E135/'Correction factors'!$B$10</f>
        <v>4.5164</v>
      </c>
      <c r="G135" s="11" t="n">
        <v>332</v>
      </c>
    </row>
    <row r="136" customFormat="false" ht="15" hidden="false" customHeight="false" outlineLevel="0" collapsed="false">
      <c r="A136" s="10" t="n">
        <v>29.2280087471008</v>
      </c>
      <c r="B136" s="11" t="n">
        <v>180</v>
      </c>
      <c r="C136" s="12" t="n">
        <f aca="false">B136*'Correction factors'!$B$7</f>
        <v>871.02</v>
      </c>
      <c r="D136" s="13" t="n">
        <v>5.930441</v>
      </c>
      <c r="E136" s="14" t="n">
        <v>56</v>
      </c>
      <c r="F136" s="10" t="n">
        <f aca="false">E136/'Correction factors'!$B$10</f>
        <v>4.5164</v>
      </c>
      <c r="G136" s="11" t="n">
        <v>336</v>
      </c>
    </row>
    <row r="137" customFormat="false" ht="15" hidden="false" customHeight="false" outlineLevel="0" collapsed="false">
      <c r="A137" s="10" t="n">
        <v>29.2280087471008</v>
      </c>
      <c r="B137" s="11" t="n">
        <v>160</v>
      </c>
      <c r="C137" s="12" t="n">
        <f aca="false">B137*'Correction factors'!$B$7</f>
        <v>774.24</v>
      </c>
      <c r="D137" s="13" t="n">
        <v>5.910797</v>
      </c>
      <c r="E137" s="14" t="n">
        <v>64</v>
      </c>
      <c r="F137" s="10" t="n">
        <f aca="false">E137/'Correction factors'!$B$10</f>
        <v>5.1616</v>
      </c>
      <c r="G137" s="11" t="n">
        <v>336</v>
      </c>
    </row>
    <row r="138" customFormat="false" ht="15" hidden="false" customHeight="false" outlineLevel="0" collapsed="false">
      <c r="A138" s="10" t="n">
        <v>29.6585657596588</v>
      </c>
      <c r="B138" s="11" t="n">
        <v>160</v>
      </c>
      <c r="C138" s="12" t="n">
        <f aca="false">B138*'Correction factors'!$B$7</f>
        <v>774.24</v>
      </c>
      <c r="D138" s="13" t="n">
        <v>5.891154</v>
      </c>
      <c r="E138" s="14" t="n">
        <v>56</v>
      </c>
      <c r="F138" s="10" t="n">
        <f aca="false">E138/'Correction factors'!$B$10</f>
        <v>4.5164</v>
      </c>
      <c r="G138" s="11" t="n">
        <v>341</v>
      </c>
    </row>
    <row r="139" customFormat="false" ht="15" hidden="false" customHeight="false" outlineLevel="0" collapsed="false">
      <c r="A139" s="10" t="n">
        <v>29.6585657596588</v>
      </c>
      <c r="B139" s="11" t="n">
        <v>160</v>
      </c>
      <c r="C139" s="12" t="n">
        <f aca="false">B139*'Correction factors'!$B$7</f>
        <v>774.24</v>
      </c>
      <c r="D139" s="13" t="n">
        <v>5.881333</v>
      </c>
      <c r="E139" s="14" t="n">
        <v>56</v>
      </c>
      <c r="F139" s="10" t="n">
        <f aca="false">E139/'Correction factors'!$B$10</f>
        <v>4.5164</v>
      </c>
      <c r="G139" s="11" t="n">
        <v>340</v>
      </c>
    </row>
    <row r="140" customFormat="false" ht="15" hidden="false" customHeight="false" outlineLevel="0" collapsed="false">
      <c r="A140" s="10" t="n">
        <v>30.1293594837189</v>
      </c>
      <c r="B140" s="11" t="n">
        <v>160</v>
      </c>
      <c r="C140" s="12" t="n">
        <f aca="false">B140*'Correction factors'!$B$7</f>
        <v>774.24</v>
      </c>
      <c r="D140" s="13" t="n">
        <v>5.871511</v>
      </c>
      <c r="E140" s="14" t="n">
        <v>56</v>
      </c>
      <c r="F140" s="10" t="n">
        <f aca="false">E140/'Correction factors'!$B$10</f>
        <v>4.5164</v>
      </c>
      <c r="G140" s="11" t="n">
        <v>342</v>
      </c>
    </row>
    <row r="141" customFormat="false" ht="15" hidden="false" customHeight="false" outlineLevel="0" collapsed="false">
      <c r="A141" s="10" t="n">
        <v>30.1293594837189</v>
      </c>
      <c r="B141" s="11" t="n">
        <v>180</v>
      </c>
      <c r="C141" s="12" t="n">
        <f aca="false">B141*'Correction factors'!$B$7</f>
        <v>871.02</v>
      </c>
      <c r="D141" s="13" t="n">
        <v>5.842046</v>
      </c>
      <c r="E141" s="14" t="n">
        <v>56</v>
      </c>
      <c r="F141" s="10" t="n">
        <f aca="false">E141/'Correction factors'!$B$10</f>
        <v>4.5164</v>
      </c>
      <c r="G141" s="11" t="n">
        <v>343</v>
      </c>
    </row>
    <row r="142" customFormat="false" ht="15" hidden="false" customHeight="false" outlineLevel="0" collapsed="false">
      <c r="A142" s="10" t="n">
        <v>30.58283162117</v>
      </c>
      <c r="B142" s="11" t="n">
        <v>160</v>
      </c>
      <c r="C142" s="12" t="n">
        <f aca="false">B142*'Correction factors'!$B$7</f>
        <v>774.24</v>
      </c>
      <c r="D142" s="13" t="n">
        <v>5.832225</v>
      </c>
      <c r="E142" s="14" t="n">
        <v>56</v>
      </c>
      <c r="F142" s="10" t="n">
        <f aca="false">E142/'Correction factors'!$B$10</f>
        <v>4.5164</v>
      </c>
      <c r="G142" s="11" t="n">
        <v>343</v>
      </c>
    </row>
    <row r="143" customFormat="false" ht="15" hidden="false" customHeight="false" outlineLevel="0" collapsed="false">
      <c r="A143" s="10" t="n">
        <v>30.58283162117</v>
      </c>
      <c r="B143" s="11" t="n">
        <v>180</v>
      </c>
      <c r="C143" s="12" t="n">
        <f aca="false">B143*'Correction factors'!$B$7</f>
        <v>871.02</v>
      </c>
      <c r="D143" s="13" t="n">
        <v>5.812582</v>
      </c>
      <c r="E143" s="14" t="n">
        <v>56</v>
      </c>
      <c r="F143" s="10" t="n">
        <f aca="false">E143/'Correction factors'!$B$10</f>
        <v>4.5164</v>
      </c>
      <c r="G143" s="11" t="n">
        <v>344</v>
      </c>
    </row>
    <row r="144" customFormat="false" ht="15" hidden="false" customHeight="false" outlineLevel="0" collapsed="false">
      <c r="A144" s="10" t="n">
        <v>30.58283162117</v>
      </c>
      <c r="B144" s="11" t="n">
        <v>160</v>
      </c>
      <c r="C144" s="12" t="n">
        <f aca="false">B144*'Correction factors'!$B$7</f>
        <v>774.24</v>
      </c>
      <c r="D144" s="13" t="n">
        <v>5.792939</v>
      </c>
      <c r="E144" s="14" t="n">
        <v>56</v>
      </c>
      <c r="F144" s="10" t="n">
        <f aca="false">E144/'Correction factors'!$B$10</f>
        <v>4.5164</v>
      </c>
      <c r="G144" s="11" t="n">
        <v>344</v>
      </c>
    </row>
    <row r="145" customFormat="false" ht="15" hidden="false" customHeight="false" outlineLevel="0" collapsed="false">
      <c r="A145" s="10" t="n">
        <v>31.0896005630493</v>
      </c>
      <c r="B145" s="11" t="n">
        <v>160</v>
      </c>
      <c r="C145" s="12" t="n">
        <f aca="false">B145*'Correction factors'!$B$7</f>
        <v>774.24</v>
      </c>
      <c r="D145" s="13" t="n">
        <v>5.773295</v>
      </c>
      <c r="E145" s="14" t="n">
        <v>56</v>
      </c>
      <c r="F145" s="10" t="n">
        <f aca="false">E145/'Correction factors'!$B$10</f>
        <v>4.5164</v>
      </c>
      <c r="G145" s="11" t="n">
        <v>347</v>
      </c>
    </row>
    <row r="146" customFormat="false" ht="15" hidden="false" customHeight="false" outlineLevel="0" collapsed="false">
      <c r="A146" s="10" t="n">
        <v>31.0896005630493</v>
      </c>
      <c r="B146" s="11" t="n">
        <v>160</v>
      </c>
      <c r="C146" s="12" t="n">
        <f aca="false">B146*'Correction factors'!$B$7</f>
        <v>774.24</v>
      </c>
      <c r="D146" s="13" t="n">
        <v>5.753652</v>
      </c>
      <c r="E146" s="14" t="n">
        <v>56</v>
      </c>
      <c r="F146" s="10" t="n">
        <f aca="false">E146/'Correction factors'!$B$10</f>
        <v>4.5164</v>
      </c>
      <c r="G146" s="11" t="n">
        <v>349</v>
      </c>
    </row>
    <row r="147" customFormat="false" ht="15" hidden="false" customHeight="false" outlineLevel="0" collapsed="false">
      <c r="A147" s="10" t="n">
        <v>31.5385677814484</v>
      </c>
      <c r="B147" s="11" t="n">
        <v>280</v>
      </c>
      <c r="C147" s="12" t="n">
        <f aca="false">B147*'Correction factors'!$B$7</f>
        <v>1354.92</v>
      </c>
      <c r="D147" s="13" t="n">
        <v>5.74383</v>
      </c>
      <c r="E147" s="14" t="n">
        <v>136</v>
      </c>
      <c r="F147" s="10" t="n">
        <f aca="false">E147/'Correction factors'!$B$10</f>
        <v>10.9684</v>
      </c>
      <c r="G147" s="11" t="n">
        <v>349</v>
      </c>
    </row>
    <row r="148" customFormat="false" ht="15" hidden="false" customHeight="false" outlineLevel="0" collapsed="false">
      <c r="A148" s="10" t="n">
        <v>31.5385677814484</v>
      </c>
      <c r="B148" s="11" t="n">
        <v>160</v>
      </c>
      <c r="C148" s="12" t="n">
        <f aca="false">B148*'Correction factors'!$B$7</f>
        <v>774.24</v>
      </c>
      <c r="D148" s="13" t="n">
        <v>5.724187</v>
      </c>
      <c r="E148" s="14" t="n">
        <v>56</v>
      </c>
      <c r="F148" s="10" t="n">
        <f aca="false">E148/'Correction factors'!$B$10</f>
        <v>4.5164</v>
      </c>
      <c r="G148" s="11" t="n">
        <v>340</v>
      </c>
    </row>
    <row r="149" customFormat="false" ht="15" hidden="false" customHeight="false" outlineLevel="0" collapsed="false">
      <c r="A149" s="10" t="n">
        <v>31.9888412952423</v>
      </c>
      <c r="B149" s="11" t="n">
        <v>160</v>
      </c>
      <c r="C149" s="12" t="n">
        <f aca="false">B149*'Correction factors'!$B$7</f>
        <v>774.24</v>
      </c>
      <c r="D149" s="13" t="n">
        <v>5.704544</v>
      </c>
      <c r="E149" s="14" t="n">
        <v>56</v>
      </c>
      <c r="F149" s="10" t="n">
        <f aca="false">E149/'Correction factors'!$B$10</f>
        <v>4.5164</v>
      </c>
      <c r="G149" s="11" t="n">
        <v>351</v>
      </c>
    </row>
    <row r="150" customFormat="false" ht="15" hidden="false" customHeight="false" outlineLevel="0" collapsed="false">
      <c r="A150" s="10" t="n">
        <v>31.9888412952423</v>
      </c>
      <c r="B150" s="11" t="n">
        <v>140</v>
      </c>
      <c r="C150" s="12" t="n">
        <f aca="false">B150*'Correction factors'!$B$7</f>
        <v>677.46</v>
      </c>
      <c r="D150" s="13" t="n">
        <v>5.694722</v>
      </c>
      <c r="E150" s="14" t="n">
        <v>56</v>
      </c>
      <c r="F150" s="10" t="n">
        <f aca="false">E150/'Correction factors'!$B$10</f>
        <v>4.5164</v>
      </c>
      <c r="G150" s="11" t="n">
        <v>351</v>
      </c>
    </row>
    <row r="151" customFormat="false" ht="15" hidden="false" customHeight="false" outlineLevel="0" collapsed="false">
      <c r="A151" s="10" t="n">
        <v>32.4435510635376</v>
      </c>
      <c r="B151" s="11" t="n">
        <v>160</v>
      </c>
      <c r="C151" s="12" t="n">
        <f aca="false">B151*'Correction factors'!$B$7</f>
        <v>774.24</v>
      </c>
      <c r="D151" s="13" t="n">
        <v>5.684901</v>
      </c>
      <c r="E151" s="14" t="n">
        <v>56</v>
      </c>
      <c r="F151" s="10" t="n">
        <f aca="false">E151/'Correction factors'!$B$10</f>
        <v>4.5164</v>
      </c>
      <c r="G151" s="11" t="n">
        <v>355</v>
      </c>
    </row>
    <row r="152" customFormat="false" ht="15" hidden="false" customHeight="false" outlineLevel="0" collapsed="false">
      <c r="A152" s="10" t="n">
        <v>32.4435510635376</v>
      </c>
      <c r="B152" s="11" t="n">
        <v>160</v>
      </c>
      <c r="C152" s="12" t="n">
        <f aca="false">B152*'Correction factors'!$B$7</f>
        <v>774.24</v>
      </c>
      <c r="D152" s="13" t="n">
        <v>5.665258</v>
      </c>
      <c r="E152" s="14" t="n">
        <v>56</v>
      </c>
      <c r="F152" s="10" t="n">
        <f aca="false">E152/'Correction factors'!$B$10</f>
        <v>4.5164</v>
      </c>
      <c r="G152" s="11" t="n">
        <v>355</v>
      </c>
    </row>
    <row r="153" customFormat="false" ht="15" hidden="false" customHeight="false" outlineLevel="0" collapsed="false">
      <c r="A153" s="10" t="n">
        <v>32.8992240428925</v>
      </c>
      <c r="B153" s="11" t="n">
        <v>160</v>
      </c>
      <c r="C153" s="12" t="n">
        <f aca="false">B153*'Correction factors'!$B$7</f>
        <v>774.24</v>
      </c>
      <c r="D153" s="13" t="n">
        <v>5.645614</v>
      </c>
      <c r="E153" s="14" t="n">
        <v>64</v>
      </c>
      <c r="F153" s="10" t="n">
        <f aca="false">E153/'Correction factors'!$B$10</f>
        <v>5.1616</v>
      </c>
      <c r="G153" s="11" t="n">
        <v>355</v>
      </c>
    </row>
    <row r="154" customFormat="false" ht="15" hidden="false" customHeight="false" outlineLevel="0" collapsed="false">
      <c r="A154" s="10" t="n">
        <v>32.8992240428925</v>
      </c>
      <c r="B154" s="11" t="n">
        <v>160</v>
      </c>
      <c r="C154" s="12" t="n">
        <f aca="false">B154*'Correction factors'!$B$7</f>
        <v>774.24</v>
      </c>
      <c r="D154" s="13" t="n">
        <v>5.635793</v>
      </c>
      <c r="E154" s="14" t="n">
        <v>56</v>
      </c>
      <c r="F154" s="10" t="n">
        <f aca="false">E154/'Correction factors'!$B$10</f>
        <v>4.5164</v>
      </c>
      <c r="G154" s="11" t="n">
        <v>355</v>
      </c>
    </row>
    <row r="155" customFormat="false" ht="15" hidden="false" customHeight="false" outlineLevel="0" collapsed="false">
      <c r="A155" s="10" t="n">
        <v>32.8992240428925</v>
      </c>
      <c r="B155" s="11" t="n">
        <v>160</v>
      </c>
      <c r="C155" s="12" t="n">
        <f aca="false">B155*'Correction factors'!$B$7</f>
        <v>774.24</v>
      </c>
      <c r="D155" s="13" t="n">
        <v>5.635793</v>
      </c>
      <c r="E155" s="14" t="n">
        <v>64</v>
      </c>
      <c r="F155" s="10" t="n">
        <f aca="false">E155/'Correction factors'!$B$10</f>
        <v>5.1616</v>
      </c>
      <c r="G155" s="11" t="n">
        <v>356</v>
      </c>
    </row>
    <row r="156" customFormat="false" ht="15" hidden="false" customHeight="false" outlineLevel="0" collapsed="false">
      <c r="A156" s="10" t="n">
        <v>33.3945422172546</v>
      </c>
      <c r="B156" s="11" t="n">
        <v>180</v>
      </c>
      <c r="C156" s="12" t="n">
        <f aca="false">B156*'Correction factors'!$B$7</f>
        <v>871.02</v>
      </c>
      <c r="D156" s="13" t="n">
        <v>5.606328</v>
      </c>
      <c r="E156" s="14" t="n">
        <v>56</v>
      </c>
      <c r="F156" s="10" t="n">
        <f aca="false">E156/'Correction factors'!$B$10</f>
        <v>4.5164</v>
      </c>
      <c r="G156" s="11" t="n">
        <v>357</v>
      </c>
    </row>
    <row r="157" customFormat="false" ht="15" hidden="false" customHeight="false" outlineLevel="0" collapsed="false">
      <c r="A157" s="10" t="n">
        <v>33.3945422172546</v>
      </c>
      <c r="B157" s="11" t="n">
        <v>180</v>
      </c>
      <c r="C157" s="12" t="n">
        <f aca="false">B157*'Correction factors'!$B$7</f>
        <v>871.02</v>
      </c>
      <c r="D157" s="13" t="n">
        <v>5.596507</v>
      </c>
      <c r="E157" s="14" t="n">
        <v>72</v>
      </c>
      <c r="F157" s="10" t="n">
        <f aca="false">E157/'Correction factors'!$B$10</f>
        <v>5.8068</v>
      </c>
      <c r="G157" s="11" t="n">
        <v>357</v>
      </c>
    </row>
    <row r="158" customFormat="false" ht="15" hidden="false" customHeight="false" outlineLevel="0" collapsed="false">
      <c r="A158" s="10" t="n">
        <v>33.847697019577</v>
      </c>
      <c r="B158" s="11" t="n">
        <v>180</v>
      </c>
      <c r="C158" s="12" t="n">
        <f aca="false">B158*'Correction factors'!$B$7</f>
        <v>871.02</v>
      </c>
      <c r="D158" s="13" t="n">
        <v>5.586685</v>
      </c>
      <c r="E158" s="14" t="n">
        <v>64</v>
      </c>
      <c r="F158" s="10" t="n">
        <f aca="false">E158/'Correction factors'!$B$10</f>
        <v>5.1616</v>
      </c>
      <c r="G158" s="11" t="n">
        <v>357</v>
      </c>
    </row>
    <row r="159" customFormat="false" ht="15" hidden="false" customHeight="false" outlineLevel="0" collapsed="false">
      <c r="A159" s="10" t="n">
        <v>33.847697019577</v>
      </c>
      <c r="B159" s="11" t="n">
        <v>200</v>
      </c>
      <c r="C159" s="12" t="n">
        <f aca="false">B159*'Correction factors'!$B$7</f>
        <v>967.8</v>
      </c>
      <c r="D159" s="13" t="n">
        <v>5.576863</v>
      </c>
      <c r="E159" s="14" t="n">
        <v>64</v>
      </c>
      <c r="F159" s="10" t="n">
        <f aca="false">E159/'Correction factors'!$B$10</f>
        <v>5.1616</v>
      </c>
      <c r="G159" s="11" t="n">
        <v>357</v>
      </c>
    </row>
    <row r="160" customFormat="false" ht="15" hidden="false" customHeight="false" outlineLevel="0" collapsed="false">
      <c r="A160" s="10" t="n">
        <v>34.3339328765869</v>
      </c>
      <c r="B160" s="11" t="n">
        <v>200</v>
      </c>
      <c r="C160" s="12" t="n">
        <f aca="false">B160*'Correction factors'!$B$7</f>
        <v>967.8</v>
      </c>
      <c r="D160" s="13" t="n">
        <v>5.55722</v>
      </c>
      <c r="E160" s="14" t="n">
        <v>72</v>
      </c>
      <c r="F160" s="10" t="n">
        <f aca="false">E160/'Correction factors'!$B$10</f>
        <v>5.8068</v>
      </c>
      <c r="G160" s="11" t="n">
        <v>354</v>
      </c>
    </row>
    <row r="161" customFormat="false" ht="15" hidden="false" customHeight="false" outlineLevel="0" collapsed="false">
      <c r="A161" s="10" t="n">
        <v>34.3339328765869</v>
      </c>
      <c r="B161" s="11" t="n">
        <v>180</v>
      </c>
      <c r="C161" s="12" t="n">
        <f aca="false">B161*'Correction factors'!$B$7</f>
        <v>871.02</v>
      </c>
      <c r="D161" s="13" t="n">
        <v>5.55722</v>
      </c>
      <c r="E161" s="14" t="n">
        <v>64</v>
      </c>
      <c r="F161" s="10" t="n">
        <f aca="false">E161/'Correction factors'!$B$10</f>
        <v>5.1616</v>
      </c>
      <c r="G161" s="11" t="n">
        <v>354</v>
      </c>
    </row>
    <row r="162" customFormat="false" ht="15" hidden="false" customHeight="false" outlineLevel="0" collapsed="false">
      <c r="A162" s="10" t="n">
        <v>34.3339328765869</v>
      </c>
      <c r="B162" s="11" t="n">
        <v>200</v>
      </c>
      <c r="C162" s="12" t="n">
        <f aca="false">B162*'Correction factors'!$B$7</f>
        <v>967.8</v>
      </c>
      <c r="D162" s="13" t="n">
        <v>5.547399</v>
      </c>
      <c r="E162" s="14" t="n">
        <v>64</v>
      </c>
      <c r="F162" s="10" t="n">
        <f aca="false">E162/'Correction factors'!$B$10</f>
        <v>5.1616</v>
      </c>
      <c r="G162" s="11" t="n">
        <v>356</v>
      </c>
    </row>
    <row r="163" customFormat="false" ht="15" hidden="false" customHeight="false" outlineLevel="0" collapsed="false">
      <c r="A163" s="10" t="n">
        <v>34.8298311233521</v>
      </c>
      <c r="B163" s="11" t="n">
        <v>180</v>
      </c>
      <c r="C163" s="12" t="n">
        <f aca="false">B163*'Correction factors'!$B$7</f>
        <v>871.02</v>
      </c>
      <c r="D163" s="13" t="n">
        <v>5.547399</v>
      </c>
      <c r="E163" s="14" t="n">
        <v>64</v>
      </c>
      <c r="F163" s="10" t="n">
        <f aca="false">E163/'Correction factors'!$B$10</f>
        <v>5.1616</v>
      </c>
      <c r="G163" s="11" t="n">
        <v>356</v>
      </c>
    </row>
    <row r="164" customFormat="false" ht="15" hidden="false" customHeight="false" outlineLevel="0" collapsed="false">
      <c r="A164" s="10" t="n">
        <v>34.8298311233521</v>
      </c>
      <c r="B164" s="11" t="n">
        <v>200</v>
      </c>
      <c r="C164" s="12" t="n">
        <f aca="false">B164*'Correction factors'!$B$7</f>
        <v>967.8</v>
      </c>
      <c r="D164" s="13" t="n">
        <v>5.537577</v>
      </c>
      <c r="E164" s="14" t="n">
        <v>64</v>
      </c>
      <c r="F164" s="10" t="n">
        <f aca="false">E164/'Correction factors'!$B$10</f>
        <v>5.1616</v>
      </c>
      <c r="G164" s="11" t="n">
        <v>356</v>
      </c>
    </row>
    <row r="165" customFormat="false" ht="15" hidden="false" customHeight="false" outlineLevel="0" collapsed="false">
      <c r="A165" s="10" t="n">
        <v>35.2738327980042</v>
      </c>
      <c r="B165" s="11" t="n">
        <v>180</v>
      </c>
      <c r="C165" s="12" t="n">
        <f aca="false">B165*'Correction factors'!$B$7</f>
        <v>871.02</v>
      </c>
      <c r="D165" s="13" t="n">
        <v>5.537577</v>
      </c>
      <c r="E165" s="14" t="n">
        <v>72</v>
      </c>
      <c r="F165" s="10" t="n">
        <f aca="false">E165/'Correction factors'!$B$10</f>
        <v>5.8068</v>
      </c>
      <c r="G165" s="11" t="n">
        <v>356</v>
      </c>
    </row>
    <row r="166" customFormat="false" ht="15" hidden="false" customHeight="false" outlineLevel="0" collapsed="false">
      <c r="A166" s="10" t="n">
        <v>35.2738327980042</v>
      </c>
      <c r="B166" s="11" t="n">
        <v>200</v>
      </c>
      <c r="C166" s="12" t="n">
        <f aca="false">B166*'Correction factors'!$B$7</f>
        <v>967.8</v>
      </c>
      <c r="D166" s="13" t="n">
        <v>5.527756</v>
      </c>
      <c r="E166" s="14" t="n">
        <v>64</v>
      </c>
      <c r="F166" s="10" t="n">
        <f aca="false">E166/'Correction factors'!$B$10</f>
        <v>5.1616</v>
      </c>
      <c r="G166" s="11" t="n">
        <v>357</v>
      </c>
    </row>
    <row r="167" customFormat="false" ht="15" hidden="false" customHeight="false" outlineLevel="0" collapsed="false">
      <c r="A167" s="10" t="n">
        <v>35.7378323078156</v>
      </c>
      <c r="B167" s="11" t="n">
        <v>180</v>
      </c>
      <c r="C167" s="12" t="n">
        <f aca="false">B167*'Correction factors'!$B$7</f>
        <v>871.02</v>
      </c>
      <c r="D167" s="13" t="n">
        <v>5.527756</v>
      </c>
      <c r="E167" s="14" t="n">
        <v>64</v>
      </c>
      <c r="F167" s="10" t="n">
        <f aca="false">E167/'Correction factors'!$B$10</f>
        <v>5.1616</v>
      </c>
      <c r="G167" s="11" t="n">
        <v>356</v>
      </c>
    </row>
    <row r="168" customFormat="false" ht="15" hidden="false" customHeight="false" outlineLevel="0" collapsed="false">
      <c r="A168" s="10" t="n">
        <v>35.7378323078156</v>
      </c>
      <c r="B168" s="11" t="n">
        <v>180</v>
      </c>
      <c r="C168" s="12" t="n">
        <f aca="false">B168*'Correction factors'!$B$7</f>
        <v>871.02</v>
      </c>
      <c r="D168" s="13" t="n">
        <v>5.517933</v>
      </c>
      <c r="E168" s="14" t="n">
        <v>64</v>
      </c>
      <c r="F168" s="10" t="n">
        <f aca="false">E168/'Correction factors'!$B$10</f>
        <v>5.1616</v>
      </c>
      <c r="G168" s="11" t="n">
        <v>358</v>
      </c>
    </row>
    <row r="169" customFormat="false" ht="15" hidden="false" customHeight="false" outlineLevel="0" collapsed="false">
      <c r="A169" s="10" t="n">
        <v>36.2068390846252</v>
      </c>
      <c r="B169" s="11" t="n">
        <v>180</v>
      </c>
      <c r="C169" s="12" t="n">
        <f aca="false">B169*'Correction factors'!$B$7</f>
        <v>871.02</v>
      </c>
      <c r="D169" s="13" t="n">
        <v>5.517933</v>
      </c>
      <c r="E169" s="14" t="n">
        <v>64</v>
      </c>
      <c r="F169" s="10" t="n">
        <f aca="false">E169/'Correction factors'!$B$10</f>
        <v>5.1616</v>
      </c>
      <c r="G169" s="11" t="n">
        <v>358</v>
      </c>
    </row>
    <row r="170" customFormat="false" ht="15" hidden="false" customHeight="false" outlineLevel="0" collapsed="false">
      <c r="A170" s="10" t="n">
        <v>36.2068390846252</v>
      </c>
      <c r="B170" s="11" t="n">
        <v>180</v>
      </c>
      <c r="C170" s="12" t="n">
        <f aca="false">B170*'Correction factors'!$B$7</f>
        <v>871.02</v>
      </c>
      <c r="D170" s="13" t="n">
        <v>5.517933</v>
      </c>
      <c r="E170" s="14" t="n">
        <v>72</v>
      </c>
      <c r="F170" s="10" t="n">
        <f aca="false">E170/'Correction factors'!$B$10</f>
        <v>5.8068</v>
      </c>
      <c r="G170" s="11" t="n">
        <v>358</v>
      </c>
    </row>
    <row r="171" customFormat="false" ht="15" hidden="false" customHeight="false" outlineLevel="0" collapsed="false">
      <c r="A171" s="10" t="n">
        <v>36.2068390846252</v>
      </c>
      <c r="B171" s="11" t="n">
        <v>200</v>
      </c>
      <c r="C171" s="12" t="n">
        <f aca="false">B171*'Correction factors'!$B$7</f>
        <v>967.8</v>
      </c>
      <c r="D171" s="13" t="n">
        <v>5.508112</v>
      </c>
      <c r="E171" s="14" t="n">
        <v>64</v>
      </c>
      <c r="F171" s="10" t="n">
        <f aca="false">E171/'Correction factors'!$B$10</f>
        <v>5.1616</v>
      </c>
      <c r="G171" s="11" t="n">
        <v>358</v>
      </c>
    </row>
    <row r="172" customFormat="false" ht="15" hidden="false" customHeight="false" outlineLevel="0" collapsed="false">
      <c r="A172" s="10" t="n">
        <v>36.7128276824951</v>
      </c>
      <c r="B172" s="11" t="n">
        <v>200</v>
      </c>
      <c r="C172" s="12" t="n">
        <f aca="false">B172*'Correction factors'!$B$7</f>
        <v>967.8</v>
      </c>
      <c r="D172" s="13" t="n">
        <v>5.498291</v>
      </c>
      <c r="E172" s="14" t="n">
        <v>72</v>
      </c>
      <c r="F172" s="10" t="n">
        <f aca="false">E172/'Correction factors'!$B$10</f>
        <v>5.8068</v>
      </c>
      <c r="G172" s="11" t="n">
        <v>357</v>
      </c>
    </row>
    <row r="173" customFormat="false" ht="15" hidden="false" customHeight="false" outlineLevel="0" collapsed="false">
      <c r="A173" s="10" t="n">
        <v>36.7128276824951</v>
      </c>
      <c r="B173" s="11" t="n">
        <v>180</v>
      </c>
      <c r="C173" s="12" t="n">
        <f aca="false">B173*'Correction factors'!$B$7</f>
        <v>871.02</v>
      </c>
      <c r="D173" s="13" t="n">
        <v>5.498291</v>
      </c>
      <c r="E173" s="14" t="n">
        <v>64</v>
      </c>
      <c r="F173" s="10" t="n">
        <f aca="false">E173/'Correction factors'!$B$10</f>
        <v>5.1616</v>
      </c>
      <c r="G173" s="11" t="n">
        <v>357</v>
      </c>
    </row>
    <row r="174" customFormat="false" ht="15" hidden="false" customHeight="false" outlineLevel="0" collapsed="false">
      <c r="A174" s="10" t="n">
        <v>37.1808354854584</v>
      </c>
      <c r="B174" s="11" t="n">
        <v>180</v>
      </c>
      <c r="C174" s="12" t="n">
        <f aca="false">B174*'Correction factors'!$B$7</f>
        <v>871.02</v>
      </c>
      <c r="D174" s="13" t="n">
        <v>5.488469</v>
      </c>
      <c r="E174" s="14" t="n">
        <v>72</v>
      </c>
      <c r="F174" s="10" t="n">
        <f aca="false">E174/'Correction factors'!$B$10</f>
        <v>5.8068</v>
      </c>
      <c r="G174" s="11" t="n">
        <v>360</v>
      </c>
    </row>
    <row r="175" customFormat="false" ht="15" hidden="false" customHeight="false" outlineLevel="0" collapsed="false">
      <c r="A175" s="10" t="n">
        <v>37.1808354854584</v>
      </c>
      <c r="B175" s="11" t="n">
        <v>200</v>
      </c>
      <c r="C175" s="12" t="n">
        <f aca="false">B175*'Correction factors'!$B$7</f>
        <v>967.8</v>
      </c>
      <c r="D175" s="13" t="n">
        <v>5.468826</v>
      </c>
      <c r="E175" s="14" t="n">
        <v>72</v>
      </c>
      <c r="F175" s="10" t="n">
        <f aca="false">E175/'Correction factors'!$B$10</f>
        <v>5.8068</v>
      </c>
      <c r="G175" s="11" t="n">
        <v>360</v>
      </c>
    </row>
    <row r="176" customFormat="false" ht="15" hidden="false" customHeight="false" outlineLevel="0" collapsed="false">
      <c r="A176" s="10" t="n">
        <v>37.6458311080933</v>
      </c>
      <c r="B176" s="11" t="n">
        <v>220</v>
      </c>
      <c r="C176" s="12" t="n">
        <f aca="false">B176*'Correction factors'!$B$7</f>
        <v>1064.58</v>
      </c>
      <c r="D176" s="13" t="n">
        <v>5.459004</v>
      </c>
      <c r="E176" s="14" t="n">
        <v>80</v>
      </c>
      <c r="F176" s="10" t="n">
        <f aca="false">E176/'Correction factors'!$B$10</f>
        <v>6.452</v>
      </c>
      <c r="G176" s="11" t="n">
        <v>359</v>
      </c>
    </row>
    <row r="177" customFormat="false" ht="15" hidden="false" customHeight="false" outlineLevel="0" collapsed="false">
      <c r="A177" s="10" t="n">
        <v>37.6458311080933</v>
      </c>
      <c r="B177" s="11" t="n">
        <v>200</v>
      </c>
      <c r="C177" s="12" t="n">
        <f aca="false">B177*'Correction factors'!$B$7</f>
        <v>967.8</v>
      </c>
      <c r="D177" s="13" t="n">
        <v>5.449183</v>
      </c>
      <c r="E177" s="14" t="n">
        <v>72</v>
      </c>
      <c r="F177" s="10" t="n">
        <f aca="false">E177/'Correction factors'!$B$10</f>
        <v>5.8068</v>
      </c>
      <c r="G177" s="11" t="n">
        <v>358</v>
      </c>
    </row>
    <row r="178" customFormat="false" ht="15" hidden="false" customHeight="false" outlineLevel="0" collapsed="false">
      <c r="A178" s="10" t="n">
        <v>37.6458311080933</v>
      </c>
      <c r="B178" s="11" t="n">
        <v>200</v>
      </c>
      <c r="C178" s="12" t="n">
        <f aca="false">B178*'Correction factors'!$B$7</f>
        <v>967.8</v>
      </c>
      <c r="D178" s="13" t="n">
        <v>5.439361</v>
      </c>
      <c r="E178" s="14" t="n">
        <v>80</v>
      </c>
      <c r="F178" s="10" t="n">
        <f aca="false">E178/'Correction factors'!$B$10</f>
        <v>6.452</v>
      </c>
      <c r="G178" s="11" t="n">
        <v>358</v>
      </c>
    </row>
    <row r="179" customFormat="false" ht="15" hidden="false" customHeight="false" outlineLevel="0" collapsed="false">
      <c r="A179" s="10" t="n">
        <v>38.1605417728424</v>
      </c>
      <c r="B179" s="11" t="n">
        <v>200</v>
      </c>
      <c r="C179" s="12" t="n">
        <f aca="false">B179*'Correction factors'!$B$7</f>
        <v>967.8</v>
      </c>
      <c r="D179" s="13" t="n">
        <v>5.429539</v>
      </c>
      <c r="E179" s="14" t="n">
        <v>72</v>
      </c>
      <c r="F179" s="10" t="n">
        <f aca="false">E179/'Correction factors'!$B$10</f>
        <v>5.8068</v>
      </c>
      <c r="G179" s="11" t="n">
        <v>358</v>
      </c>
    </row>
    <row r="180" customFormat="false" ht="15" hidden="false" customHeight="false" outlineLevel="0" collapsed="false">
      <c r="A180" s="10" t="n">
        <v>38.1605417728424</v>
      </c>
      <c r="B180" s="11" t="n">
        <v>200</v>
      </c>
      <c r="C180" s="12" t="n">
        <f aca="false">B180*'Correction factors'!$B$7</f>
        <v>967.8</v>
      </c>
      <c r="D180" s="13" t="n">
        <v>5.429539</v>
      </c>
      <c r="E180" s="14" t="n">
        <v>72</v>
      </c>
      <c r="F180" s="10" t="n">
        <f aca="false">E180/'Correction factors'!$B$10</f>
        <v>5.8068</v>
      </c>
      <c r="G180" s="11" t="n">
        <v>358</v>
      </c>
    </row>
    <row r="181" customFormat="false" ht="15" hidden="false" customHeight="false" outlineLevel="0" collapsed="false">
      <c r="A181" s="10" t="n">
        <v>38.633930683136</v>
      </c>
      <c r="B181" s="11" t="n">
        <v>200</v>
      </c>
      <c r="C181" s="12" t="n">
        <f aca="false">B181*'Correction factors'!$B$7</f>
        <v>967.8</v>
      </c>
      <c r="D181" s="13" t="n">
        <v>5.419718</v>
      </c>
      <c r="E181" s="14" t="n">
        <v>80</v>
      </c>
      <c r="F181" s="10" t="n">
        <f aca="false">E181/'Correction factors'!$B$10</f>
        <v>6.452</v>
      </c>
      <c r="G181" s="11" t="n">
        <v>358</v>
      </c>
    </row>
    <row r="182" customFormat="false" ht="15" hidden="false" customHeight="false" outlineLevel="0" collapsed="false">
      <c r="A182" s="10" t="n">
        <v>38.633930683136</v>
      </c>
      <c r="B182" s="11" t="n">
        <v>200</v>
      </c>
      <c r="C182" s="12" t="n">
        <f aca="false">B182*'Correction factors'!$B$7</f>
        <v>967.8</v>
      </c>
      <c r="D182" s="13" t="n">
        <v>5.409896</v>
      </c>
      <c r="E182" s="14" t="n">
        <v>72</v>
      </c>
      <c r="F182" s="10" t="n">
        <f aca="false">E182/'Correction factors'!$B$10</f>
        <v>5.8068</v>
      </c>
      <c r="G182" s="11" t="n">
        <v>358</v>
      </c>
    </row>
    <row r="183" customFormat="false" ht="15" hidden="false" customHeight="false" outlineLevel="0" collapsed="false">
      <c r="A183" s="10" t="n">
        <v>39.144572019577</v>
      </c>
      <c r="B183" s="11" t="n">
        <v>180</v>
      </c>
      <c r="C183" s="12" t="n">
        <f aca="false">B183*'Correction factors'!$B$7</f>
        <v>871.02</v>
      </c>
      <c r="D183" s="13" t="n">
        <v>5.409896</v>
      </c>
      <c r="E183" s="14" t="n">
        <v>72</v>
      </c>
      <c r="F183" s="10" t="n">
        <f aca="false">E183/'Correction factors'!$B$10</f>
        <v>5.8068</v>
      </c>
      <c r="G183" s="11" t="n">
        <v>357</v>
      </c>
    </row>
    <row r="184" customFormat="false" ht="15" hidden="false" customHeight="false" outlineLevel="0" collapsed="false">
      <c r="A184" s="10" t="n">
        <v>39.144572019577</v>
      </c>
      <c r="B184" s="11" t="n">
        <v>180</v>
      </c>
      <c r="C184" s="12" t="n">
        <f aca="false">B184*'Correction factors'!$B$7</f>
        <v>871.02</v>
      </c>
      <c r="D184" s="13" t="n">
        <v>5.419718</v>
      </c>
      <c r="E184" s="14" t="n">
        <v>72</v>
      </c>
      <c r="F184" s="10" t="n">
        <f aca="false">E184/'Correction factors'!$B$10</f>
        <v>5.8068</v>
      </c>
      <c r="G184" s="11" t="n">
        <v>360</v>
      </c>
    </row>
    <row r="185" customFormat="false" ht="15" hidden="false" customHeight="false" outlineLevel="0" collapsed="false">
      <c r="A185" s="10" t="n">
        <v>39.144572019577</v>
      </c>
      <c r="B185" s="11" t="n">
        <v>200</v>
      </c>
      <c r="C185" s="12" t="n">
        <f aca="false">B185*'Correction factors'!$B$7</f>
        <v>967.8</v>
      </c>
      <c r="D185" s="13" t="n">
        <v>5.409896</v>
      </c>
      <c r="E185" s="14" t="n">
        <v>72</v>
      </c>
      <c r="F185" s="10" t="n">
        <f aca="false">E185/'Correction factors'!$B$10</f>
        <v>5.8068</v>
      </c>
      <c r="G185" s="11" t="n">
        <v>360</v>
      </c>
    </row>
    <row r="186" customFormat="false" ht="15" hidden="false" customHeight="false" outlineLevel="0" collapsed="false">
      <c r="A186" s="10" t="n">
        <v>39.6532707214356</v>
      </c>
      <c r="B186" s="11" t="n">
        <v>200</v>
      </c>
      <c r="C186" s="12" t="n">
        <f aca="false">B186*'Correction factors'!$B$7</f>
        <v>967.8</v>
      </c>
      <c r="D186" s="13" t="n">
        <v>5.390253</v>
      </c>
      <c r="E186" s="14" t="n">
        <v>80</v>
      </c>
      <c r="F186" s="10" t="n">
        <f aca="false">E186/'Correction factors'!$B$10</f>
        <v>6.452</v>
      </c>
      <c r="G186" s="11" t="n">
        <v>359</v>
      </c>
    </row>
    <row r="187" customFormat="false" ht="15" hidden="false" customHeight="false" outlineLevel="0" collapsed="false">
      <c r="A187" s="10" t="n">
        <v>39.6532707214356</v>
      </c>
      <c r="B187" s="11" t="n">
        <v>220</v>
      </c>
      <c r="C187" s="12" t="n">
        <f aca="false">B187*'Correction factors'!$B$7</f>
        <v>1064.58</v>
      </c>
      <c r="D187" s="13" t="n">
        <v>5.380431</v>
      </c>
      <c r="E187" s="14" t="n">
        <v>72</v>
      </c>
      <c r="F187" s="10" t="n">
        <f aca="false">E187/'Correction factors'!$B$10</f>
        <v>5.8068</v>
      </c>
      <c r="G187" s="11" t="n">
        <v>359</v>
      </c>
    </row>
    <row r="188" customFormat="false" ht="15" hidden="false" customHeight="false" outlineLevel="0" collapsed="false">
      <c r="A188" s="10" t="n">
        <v>40.1336724758148</v>
      </c>
      <c r="B188" s="11" t="n">
        <v>200</v>
      </c>
      <c r="C188" s="12" t="n">
        <f aca="false">B188*'Correction factors'!$B$7</f>
        <v>967.8</v>
      </c>
      <c r="D188" s="13" t="n">
        <v>5.380431</v>
      </c>
      <c r="E188" s="14" t="n">
        <v>80</v>
      </c>
      <c r="F188" s="10" t="n">
        <f aca="false">E188/'Correction factors'!$B$10</f>
        <v>6.452</v>
      </c>
      <c r="G188" s="11" t="n">
        <v>358</v>
      </c>
    </row>
    <row r="189" customFormat="false" ht="15" hidden="false" customHeight="false" outlineLevel="0" collapsed="false">
      <c r="A189" s="10" t="n">
        <v>40.1336724758148</v>
      </c>
      <c r="B189" s="11" t="n">
        <v>200</v>
      </c>
      <c r="C189" s="12" t="n">
        <f aca="false">B189*'Correction factors'!$B$7</f>
        <v>967.8</v>
      </c>
      <c r="D189" s="13" t="n">
        <v>5.37061</v>
      </c>
      <c r="E189" s="14" t="n">
        <v>72</v>
      </c>
      <c r="F189" s="10" t="n">
        <f aca="false">E189/'Correction factors'!$B$10</f>
        <v>5.8068</v>
      </c>
      <c r="G189" s="11" t="n">
        <v>358</v>
      </c>
    </row>
    <row r="190" customFormat="false" ht="15" hidden="false" customHeight="false" outlineLevel="0" collapsed="false">
      <c r="A190" s="10" t="n">
        <v>40.1336724758148</v>
      </c>
      <c r="B190" s="11" t="n">
        <v>200</v>
      </c>
      <c r="C190" s="12" t="n">
        <f aca="false">B190*'Correction factors'!$B$7</f>
        <v>967.8</v>
      </c>
      <c r="D190" s="13" t="n">
        <v>5.37061</v>
      </c>
      <c r="E190" s="14" t="n">
        <v>72</v>
      </c>
      <c r="F190" s="10" t="n">
        <f aca="false">E190/'Correction factors'!$B$10</f>
        <v>5.8068</v>
      </c>
      <c r="G190" s="11" t="n">
        <v>358</v>
      </c>
    </row>
    <row r="191" customFormat="false" ht="15" hidden="false" customHeight="false" outlineLevel="0" collapsed="false">
      <c r="A191" s="10" t="n">
        <v>40.6194365024567</v>
      </c>
      <c r="B191" s="11" t="n">
        <v>200</v>
      </c>
      <c r="C191" s="12" t="n">
        <f aca="false">B191*'Correction factors'!$B$7</f>
        <v>967.8</v>
      </c>
      <c r="D191" s="13" t="n">
        <v>5.37061</v>
      </c>
      <c r="E191" s="14" t="n">
        <v>72</v>
      </c>
      <c r="F191" s="10" t="n">
        <f aca="false">E191/'Correction factors'!$B$10</f>
        <v>5.8068</v>
      </c>
      <c r="G191" s="11" t="n">
        <v>358</v>
      </c>
    </row>
    <row r="192" customFormat="false" ht="15" hidden="false" customHeight="false" outlineLevel="0" collapsed="false">
      <c r="A192" s="10" t="n">
        <v>40.6194365024567</v>
      </c>
      <c r="B192" s="11" t="n">
        <v>200</v>
      </c>
      <c r="C192" s="12" t="n">
        <f aca="false">B192*'Correction factors'!$B$7</f>
        <v>967.8</v>
      </c>
      <c r="D192" s="13" t="n">
        <v>5.360788</v>
      </c>
      <c r="E192" s="14" t="n">
        <v>80</v>
      </c>
      <c r="F192" s="10" t="n">
        <f aca="false">E192/'Correction factors'!$B$10</f>
        <v>6.452</v>
      </c>
      <c r="G192" s="11" t="n">
        <v>359</v>
      </c>
    </row>
    <row r="193" customFormat="false" ht="15" hidden="false" customHeight="false" outlineLevel="0" collapsed="false">
      <c r="A193" s="10" t="n">
        <v>41.0755717754364</v>
      </c>
      <c r="B193" s="11" t="n">
        <v>220</v>
      </c>
      <c r="C193" s="12" t="n">
        <f aca="false">B193*'Correction factors'!$B$7</f>
        <v>1064.58</v>
      </c>
      <c r="D193" s="13" t="n">
        <v>5.360788</v>
      </c>
      <c r="E193" s="14" t="n">
        <v>72</v>
      </c>
      <c r="F193" s="10" t="n">
        <f aca="false">E193/'Correction factors'!$B$10</f>
        <v>5.8068</v>
      </c>
      <c r="G193" s="11" t="n">
        <v>358</v>
      </c>
    </row>
    <row r="194" customFormat="false" ht="15" hidden="false" customHeight="false" outlineLevel="0" collapsed="false">
      <c r="A194" s="10" t="n">
        <v>41.0755717754364</v>
      </c>
      <c r="B194" s="11" t="n">
        <v>200</v>
      </c>
      <c r="C194" s="12" t="n">
        <f aca="false">B194*'Correction factors'!$B$7</f>
        <v>967.8</v>
      </c>
      <c r="D194" s="13" t="n">
        <v>5.360788</v>
      </c>
      <c r="E194" s="14" t="n">
        <v>72</v>
      </c>
      <c r="F194" s="10" t="n">
        <f aca="false">E194/'Correction factors'!$B$10</f>
        <v>5.8068</v>
      </c>
      <c r="G194" s="11" t="n">
        <v>358</v>
      </c>
    </row>
    <row r="195" customFormat="false" ht="15" hidden="false" customHeight="false" outlineLevel="0" collapsed="false">
      <c r="A195" s="10" t="n">
        <v>41.5508160591126</v>
      </c>
      <c r="B195" s="11" t="n">
        <v>200</v>
      </c>
      <c r="C195" s="12" t="n">
        <f aca="false">B195*'Correction factors'!$B$7</f>
        <v>967.8</v>
      </c>
      <c r="D195" s="13" t="n">
        <v>5.360788</v>
      </c>
      <c r="E195" s="14" t="n">
        <v>72</v>
      </c>
      <c r="F195" s="10" t="n">
        <f aca="false">E195/'Correction factors'!$B$10</f>
        <v>5.8068</v>
      </c>
      <c r="G195" s="11" t="n">
        <v>359</v>
      </c>
    </row>
    <row r="196" customFormat="false" ht="15" hidden="false" customHeight="false" outlineLevel="0" collapsed="false">
      <c r="A196" s="10" t="n">
        <v>41.5508160591126</v>
      </c>
      <c r="B196" s="11" t="n">
        <v>220</v>
      </c>
      <c r="C196" s="12" t="n">
        <f aca="false">B196*'Correction factors'!$B$7</f>
        <v>1064.58</v>
      </c>
      <c r="D196" s="13" t="n">
        <v>5.350966</v>
      </c>
      <c r="E196" s="14" t="n">
        <v>80</v>
      </c>
      <c r="F196" s="10" t="n">
        <f aca="false">E196/'Correction factors'!$B$10</f>
        <v>6.452</v>
      </c>
      <c r="G196" s="11" t="n">
        <v>358</v>
      </c>
    </row>
    <row r="197" customFormat="false" ht="15" hidden="false" customHeight="false" outlineLevel="0" collapsed="false">
      <c r="A197" s="10" t="n">
        <v>41.5508160591126</v>
      </c>
      <c r="B197" s="11" t="n">
        <v>200</v>
      </c>
      <c r="C197" s="12" t="n">
        <f aca="false">B197*'Correction factors'!$B$7</f>
        <v>967.8</v>
      </c>
      <c r="D197" s="13" t="n">
        <v>5.350966</v>
      </c>
      <c r="E197" s="14" t="n">
        <v>72</v>
      </c>
      <c r="F197" s="10" t="n">
        <f aca="false">E197/'Correction factors'!$B$10</f>
        <v>5.8068</v>
      </c>
      <c r="G197" s="11" t="n">
        <v>357</v>
      </c>
    </row>
    <row r="198" customFormat="false" ht="15" hidden="false" customHeight="false" outlineLevel="0" collapsed="false">
      <c r="A198" s="10" t="n">
        <v>42.0614950656891</v>
      </c>
      <c r="B198" s="11" t="n">
        <v>200</v>
      </c>
      <c r="C198" s="12" t="n">
        <f aca="false">B198*'Correction factors'!$B$7</f>
        <v>967.8</v>
      </c>
      <c r="D198" s="13" t="n">
        <v>5.341145</v>
      </c>
      <c r="E198" s="14" t="n">
        <v>72</v>
      </c>
      <c r="F198" s="10" t="n">
        <f aca="false">E198/'Correction factors'!$B$10</f>
        <v>5.8068</v>
      </c>
      <c r="G198" s="11" t="n">
        <v>358</v>
      </c>
    </row>
    <row r="199" customFormat="false" ht="15" hidden="false" customHeight="false" outlineLevel="0" collapsed="false">
      <c r="A199" s="10" t="n">
        <v>42.0614950656891</v>
      </c>
      <c r="B199" s="11" t="n">
        <v>200</v>
      </c>
      <c r="C199" s="12" t="n">
        <f aca="false">B199*'Correction factors'!$B$7</f>
        <v>967.8</v>
      </c>
      <c r="D199" s="13" t="n">
        <v>5.331323</v>
      </c>
      <c r="E199" s="14" t="n">
        <v>72</v>
      </c>
      <c r="F199" s="10" t="n">
        <f aca="false">E199/'Correction factors'!$B$10</f>
        <v>5.8068</v>
      </c>
      <c r="G199" s="11" t="n">
        <v>358</v>
      </c>
    </row>
    <row r="200" customFormat="false" ht="15" hidden="false" customHeight="false" outlineLevel="0" collapsed="false">
      <c r="A200" s="10" t="n">
        <v>42.5233898162842</v>
      </c>
      <c r="B200" s="11" t="n">
        <v>200</v>
      </c>
      <c r="C200" s="12" t="n">
        <f aca="false">B200*'Correction factors'!$B$7</f>
        <v>967.8</v>
      </c>
      <c r="D200" s="13" t="n">
        <v>5.341145</v>
      </c>
      <c r="E200" s="14" t="n">
        <v>72</v>
      </c>
      <c r="F200" s="10" t="n">
        <f aca="false">E200/'Correction factors'!$B$10</f>
        <v>5.8068</v>
      </c>
      <c r="G200" s="11" t="n">
        <v>358</v>
      </c>
    </row>
    <row r="201" customFormat="false" ht="15" hidden="false" customHeight="false" outlineLevel="0" collapsed="false">
      <c r="A201" s="10" t="n">
        <v>42.5233898162842</v>
      </c>
      <c r="B201" s="11" t="n">
        <v>200</v>
      </c>
      <c r="C201" s="12" t="n">
        <f aca="false">B201*'Correction factors'!$B$7</f>
        <v>967.8</v>
      </c>
      <c r="D201" s="13" t="n">
        <v>5.331323</v>
      </c>
      <c r="E201" s="14" t="n">
        <v>72</v>
      </c>
      <c r="F201" s="10" t="n">
        <f aca="false">E201/'Correction factors'!$B$10</f>
        <v>5.8068</v>
      </c>
      <c r="G201" s="11" t="n">
        <v>358</v>
      </c>
    </row>
    <row r="202" customFormat="false" ht="15" hidden="false" customHeight="false" outlineLevel="0" collapsed="false">
      <c r="A202" s="10" t="n">
        <v>42.9739234447479</v>
      </c>
      <c r="B202" s="11" t="n">
        <v>200</v>
      </c>
      <c r="C202" s="12" t="n">
        <f aca="false">B202*'Correction factors'!$B$7</f>
        <v>967.8</v>
      </c>
      <c r="D202" s="13" t="n">
        <v>5.331323</v>
      </c>
      <c r="E202" s="14" t="n">
        <v>72</v>
      </c>
      <c r="F202" s="10" t="n">
        <f aca="false">E202/'Correction factors'!$B$10</f>
        <v>5.8068</v>
      </c>
      <c r="G202" s="11" t="n">
        <v>358</v>
      </c>
    </row>
    <row r="203" customFormat="false" ht="15" hidden="false" customHeight="false" outlineLevel="0" collapsed="false">
      <c r="A203" s="10" t="n">
        <v>42.9739234447479</v>
      </c>
      <c r="B203" s="11" t="n">
        <v>180</v>
      </c>
      <c r="C203" s="12" t="n">
        <f aca="false">B203*'Correction factors'!$B$7</f>
        <v>871.02</v>
      </c>
      <c r="D203" s="13" t="n">
        <v>5.331323</v>
      </c>
      <c r="E203" s="14" t="n">
        <v>72</v>
      </c>
      <c r="F203" s="10" t="n">
        <f aca="false">E203/'Correction factors'!$B$10</f>
        <v>5.8068</v>
      </c>
      <c r="G203" s="11" t="n">
        <v>358</v>
      </c>
    </row>
    <row r="204" customFormat="false" ht="15" hidden="false" customHeight="false" outlineLevel="0" collapsed="false">
      <c r="A204" s="10" t="n">
        <v>43.4756903648377</v>
      </c>
      <c r="B204" s="11" t="n">
        <v>200</v>
      </c>
      <c r="C204" s="12" t="n">
        <f aca="false">B204*'Correction factors'!$B$7</f>
        <v>967.8</v>
      </c>
      <c r="D204" s="13" t="n">
        <v>5.331323</v>
      </c>
      <c r="E204" s="14" t="n">
        <v>72</v>
      </c>
      <c r="F204" s="10" t="n">
        <f aca="false">E204/'Correction factors'!$B$10</f>
        <v>5.8068</v>
      </c>
      <c r="G204" s="11" t="n">
        <v>360</v>
      </c>
    </row>
    <row r="205" customFormat="false" ht="15" hidden="false" customHeight="false" outlineLevel="0" collapsed="false">
      <c r="A205" s="10" t="n">
        <v>43.4756903648377</v>
      </c>
      <c r="B205" s="11" t="n">
        <v>200</v>
      </c>
      <c r="C205" s="12" t="n">
        <f aca="false">B205*'Correction factors'!$B$7</f>
        <v>967.8</v>
      </c>
      <c r="D205" s="13" t="n">
        <v>5.331323</v>
      </c>
      <c r="E205" s="14" t="n">
        <v>80</v>
      </c>
      <c r="F205" s="10" t="n">
        <f aca="false">E205/'Correction factors'!$B$10</f>
        <v>6.452</v>
      </c>
      <c r="G205" s="11" t="n">
        <v>360</v>
      </c>
    </row>
    <row r="206" customFormat="false" ht="15" hidden="false" customHeight="false" outlineLevel="0" collapsed="false">
      <c r="A206" s="10" t="n">
        <v>43.4756903648377</v>
      </c>
      <c r="B206" s="11" t="n">
        <v>200</v>
      </c>
      <c r="C206" s="12" t="n">
        <f aca="false">B206*'Correction factors'!$B$7</f>
        <v>967.8</v>
      </c>
      <c r="D206" s="13" t="n">
        <v>5.321502</v>
      </c>
      <c r="E206" s="14" t="n">
        <v>72</v>
      </c>
      <c r="F206" s="10" t="n">
        <f aca="false">E206/'Correction factors'!$B$10</f>
        <v>5.8068</v>
      </c>
      <c r="G206" s="11" t="n">
        <v>360</v>
      </c>
    </row>
    <row r="207" customFormat="false" ht="15" hidden="false" customHeight="false" outlineLevel="0" collapsed="false">
      <c r="A207" s="10" t="n">
        <v>43.963565826416</v>
      </c>
      <c r="B207" s="11" t="n">
        <v>200</v>
      </c>
      <c r="C207" s="12" t="n">
        <f aca="false">B207*'Correction factors'!$B$7</f>
        <v>967.8</v>
      </c>
      <c r="D207" s="13" t="n">
        <v>5.31168</v>
      </c>
      <c r="E207" s="14" t="n">
        <v>72</v>
      </c>
      <c r="F207" s="10" t="n">
        <f aca="false">E207/'Correction factors'!$B$10</f>
        <v>5.8068</v>
      </c>
      <c r="G207" s="11" t="n">
        <v>360</v>
      </c>
    </row>
    <row r="208" customFormat="false" ht="15" hidden="false" customHeight="false" outlineLevel="0" collapsed="false">
      <c r="A208" s="10" t="n">
        <v>43.963565826416</v>
      </c>
      <c r="B208" s="11" t="n">
        <v>200</v>
      </c>
      <c r="C208" s="12" t="n">
        <f aca="false">B208*'Correction factors'!$B$7</f>
        <v>967.8</v>
      </c>
      <c r="D208" s="13" t="n">
        <v>5.31168</v>
      </c>
      <c r="E208" s="14" t="n">
        <v>72</v>
      </c>
      <c r="F208" s="10" t="n">
        <f aca="false">E208/'Correction factors'!$B$10</f>
        <v>5.8068</v>
      </c>
      <c r="G208" s="11" t="n">
        <v>360</v>
      </c>
    </row>
    <row r="209" customFormat="false" ht="15" hidden="false" customHeight="false" outlineLevel="0" collapsed="false">
      <c r="A209" s="10" t="n">
        <v>44.4158134460449</v>
      </c>
      <c r="B209" s="11" t="n">
        <v>220</v>
      </c>
      <c r="C209" s="12" t="n">
        <f aca="false">B209*'Correction factors'!$B$7</f>
        <v>1064.58</v>
      </c>
      <c r="D209" s="13" t="n">
        <v>5.301858</v>
      </c>
      <c r="E209" s="14" t="n">
        <v>80</v>
      </c>
      <c r="F209" s="10" t="n">
        <f aca="false">E209/'Correction factors'!$B$10</f>
        <v>6.452</v>
      </c>
      <c r="G209" s="11" t="n">
        <v>360</v>
      </c>
    </row>
    <row r="210" customFormat="false" ht="15" hidden="false" customHeight="false" outlineLevel="0" collapsed="false">
      <c r="A210" s="10" t="n">
        <v>44.4158134460449</v>
      </c>
      <c r="B210" s="11" t="n">
        <v>200</v>
      </c>
      <c r="C210" s="12" t="n">
        <f aca="false">B210*'Correction factors'!$B$7</f>
        <v>967.8</v>
      </c>
      <c r="D210" s="13" t="n">
        <v>5.292037</v>
      </c>
      <c r="E210" s="14" t="n">
        <v>72</v>
      </c>
      <c r="F210" s="10" t="n">
        <f aca="false">E210/'Correction factors'!$B$10</f>
        <v>5.8068</v>
      </c>
      <c r="G210" s="11" t="n">
        <v>357</v>
      </c>
    </row>
    <row r="211" customFormat="false" ht="15" hidden="false" customHeight="false" outlineLevel="0" collapsed="false">
      <c r="A211" s="10" t="n">
        <v>44.87610912323</v>
      </c>
      <c r="B211" s="11" t="n">
        <v>200</v>
      </c>
      <c r="C211" s="12" t="n">
        <f aca="false">B211*'Correction factors'!$B$7</f>
        <v>967.8</v>
      </c>
      <c r="D211" s="13" t="n">
        <v>5.292037</v>
      </c>
      <c r="E211" s="14" t="n">
        <v>72</v>
      </c>
      <c r="F211" s="10" t="n">
        <f aca="false">E211/'Correction factors'!$B$10</f>
        <v>5.8068</v>
      </c>
      <c r="G211" s="11" t="n">
        <v>358</v>
      </c>
    </row>
    <row r="212" customFormat="false" ht="15" hidden="false" customHeight="false" outlineLevel="0" collapsed="false">
      <c r="A212" s="10" t="n">
        <v>44.87610912323</v>
      </c>
      <c r="B212" s="11" t="n">
        <v>180</v>
      </c>
      <c r="C212" s="12" t="n">
        <f aca="false">B212*'Correction factors'!$B$7</f>
        <v>871.02</v>
      </c>
      <c r="D212" s="13" t="n">
        <v>5.292037</v>
      </c>
      <c r="E212" s="14" t="n">
        <v>72</v>
      </c>
      <c r="F212" s="10" t="n">
        <f aca="false">E212/'Correction factors'!$B$10</f>
        <v>5.8068</v>
      </c>
      <c r="G212" s="11" t="n">
        <v>358</v>
      </c>
    </row>
    <row r="213" customFormat="false" ht="15" hidden="false" customHeight="false" outlineLevel="0" collapsed="false">
      <c r="A213" s="10" t="n">
        <v>44.87610912323</v>
      </c>
      <c r="B213" s="11" t="n">
        <v>180</v>
      </c>
      <c r="C213" s="12" t="n">
        <f aca="false">B213*'Correction factors'!$B$7</f>
        <v>871.02</v>
      </c>
      <c r="D213" s="13" t="n">
        <v>5.282216</v>
      </c>
      <c r="E213" s="14" t="n">
        <v>80</v>
      </c>
      <c r="F213" s="10" t="n">
        <f aca="false">E213/'Correction factors'!$B$10</f>
        <v>6.452</v>
      </c>
      <c r="G213" s="11" t="n">
        <v>360</v>
      </c>
    </row>
    <row r="214" customFormat="false" ht="15" hidden="false" customHeight="false" outlineLevel="0" collapsed="false">
      <c r="A214" s="10" t="n">
        <v>45.3782224655151</v>
      </c>
      <c r="B214" s="11" t="n">
        <v>200</v>
      </c>
      <c r="C214" s="12" t="n">
        <f aca="false">B214*'Correction factors'!$B$7</f>
        <v>967.8</v>
      </c>
      <c r="D214" s="13" t="n">
        <v>5.272394</v>
      </c>
      <c r="E214" s="14" t="n">
        <v>72</v>
      </c>
      <c r="F214" s="10" t="n">
        <f aca="false">E214/'Correction factors'!$B$10</f>
        <v>5.8068</v>
      </c>
      <c r="G214" s="11" t="n">
        <v>360</v>
      </c>
    </row>
    <row r="215" customFormat="false" ht="15" hidden="false" customHeight="false" outlineLevel="0" collapsed="false">
      <c r="A215" s="10" t="n">
        <v>45.3782224655151</v>
      </c>
      <c r="B215" s="11" t="n">
        <v>200</v>
      </c>
      <c r="C215" s="12" t="n">
        <f aca="false">B215*'Correction factors'!$B$7</f>
        <v>967.8</v>
      </c>
      <c r="D215" s="13" t="n">
        <v>5.282216</v>
      </c>
      <c r="E215" s="14" t="n">
        <v>72</v>
      </c>
      <c r="F215" s="10" t="n">
        <f aca="false">E215/'Correction factors'!$B$10</f>
        <v>5.8068</v>
      </c>
      <c r="G215" s="11" t="n">
        <v>360</v>
      </c>
    </row>
    <row r="216" customFormat="false" ht="15" hidden="false" customHeight="false" outlineLevel="0" collapsed="false">
      <c r="A216" s="10" t="n">
        <v>45.8119606971741</v>
      </c>
      <c r="B216" s="11" t="n">
        <v>200</v>
      </c>
      <c r="C216" s="12" t="n">
        <f aca="false">B216*'Correction factors'!$B$7</f>
        <v>967.8</v>
      </c>
      <c r="D216" s="13" t="n">
        <v>5.262572</v>
      </c>
      <c r="E216" s="14" t="n">
        <v>72</v>
      </c>
      <c r="F216" s="10" t="n">
        <f aca="false">E216/'Correction factors'!$B$10</f>
        <v>5.8068</v>
      </c>
      <c r="G216" s="11" t="n">
        <v>360</v>
      </c>
    </row>
    <row r="217" customFormat="false" ht="15" hidden="false" customHeight="false" outlineLevel="0" collapsed="false">
      <c r="A217" s="10" t="n">
        <v>45.8119606971741</v>
      </c>
      <c r="B217" s="11" t="n">
        <v>200</v>
      </c>
      <c r="C217" s="12" t="n">
        <f aca="false">B217*'Correction factors'!$B$7</f>
        <v>967.8</v>
      </c>
      <c r="D217" s="13" t="n">
        <v>5.272394</v>
      </c>
      <c r="E217" s="14" t="n">
        <v>72</v>
      </c>
      <c r="F217" s="10" t="n">
        <f aca="false">E217/'Correction factors'!$B$10</f>
        <v>5.8068</v>
      </c>
      <c r="G217" s="11" t="n">
        <v>360</v>
      </c>
    </row>
    <row r="218" customFormat="false" ht="15" hidden="false" customHeight="false" outlineLevel="0" collapsed="false">
      <c r="A218" s="10" t="n">
        <v>46.2339417934418</v>
      </c>
      <c r="B218" s="11" t="n">
        <v>200</v>
      </c>
      <c r="C218" s="12" t="n">
        <f aca="false">B218*'Correction factors'!$B$7</f>
        <v>967.8</v>
      </c>
      <c r="D218" s="13" t="n">
        <v>5.252751</v>
      </c>
      <c r="E218" s="14" t="n">
        <v>80</v>
      </c>
      <c r="F218" s="10" t="n">
        <f aca="false">E218/'Correction factors'!$B$10</f>
        <v>6.452</v>
      </c>
      <c r="G218" s="11" t="n">
        <v>360</v>
      </c>
    </row>
    <row r="219" customFormat="false" ht="15" hidden="false" customHeight="false" outlineLevel="0" collapsed="false">
      <c r="A219" s="10" t="n">
        <v>46.2339417934418</v>
      </c>
      <c r="B219" s="11" t="n">
        <v>200</v>
      </c>
      <c r="C219" s="12" t="n">
        <f aca="false">B219*'Correction factors'!$B$7</f>
        <v>967.8</v>
      </c>
      <c r="D219" s="13" t="n">
        <v>5.252751</v>
      </c>
      <c r="E219" s="14" t="n">
        <v>72</v>
      </c>
      <c r="F219" s="10" t="n">
        <f aca="false">E219/'Correction factors'!$B$10</f>
        <v>5.8068</v>
      </c>
      <c r="G219" s="11" t="n">
        <v>360</v>
      </c>
    </row>
    <row r="220" customFormat="false" ht="15" hidden="false" customHeight="false" outlineLevel="0" collapsed="false">
      <c r="A220" s="10" t="n">
        <v>46.6559143066406</v>
      </c>
      <c r="B220" s="11" t="n">
        <v>200</v>
      </c>
      <c r="C220" s="12" t="n">
        <f aca="false">B220*'Correction factors'!$B$7</f>
        <v>967.8</v>
      </c>
      <c r="D220" s="13" t="n">
        <v>5.252751</v>
      </c>
      <c r="E220" s="14" t="n">
        <v>72</v>
      </c>
      <c r="F220" s="10" t="n">
        <f aca="false">E220/'Correction factors'!$B$10</f>
        <v>5.8068</v>
      </c>
      <c r="G220" s="11" t="n">
        <v>360</v>
      </c>
    </row>
    <row r="221" customFormat="false" ht="15" hidden="false" customHeight="false" outlineLevel="0" collapsed="false">
      <c r="A221" s="10" t="n">
        <v>46.6559143066406</v>
      </c>
      <c r="B221" s="11" t="n">
        <v>200</v>
      </c>
      <c r="C221" s="12" t="n">
        <f aca="false">B221*'Correction factors'!$B$7</f>
        <v>967.8</v>
      </c>
      <c r="D221" s="13" t="n">
        <v>5.242929</v>
      </c>
      <c r="E221" s="14" t="n">
        <v>80</v>
      </c>
      <c r="F221" s="10" t="n">
        <f aca="false">E221/'Correction factors'!$B$10</f>
        <v>6.452</v>
      </c>
      <c r="G221" s="11" t="n">
        <v>360</v>
      </c>
    </row>
    <row r="222" customFormat="false" ht="15" hidden="false" customHeight="false" outlineLevel="0" collapsed="false">
      <c r="A222" s="10" t="n">
        <v>47.0962476730347</v>
      </c>
      <c r="B222" s="11" t="n">
        <v>200</v>
      </c>
      <c r="C222" s="12" t="n">
        <f aca="false">B222*'Correction factors'!$B$7</f>
        <v>967.8</v>
      </c>
      <c r="D222" s="13" t="n">
        <v>5.242929</v>
      </c>
      <c r="E222" s="14" t="n">
        <v>72</v>
      </c>
      <c r="F222" s="10" t="n">
        <f aca="false">E222/'Correction factors'!$B$10</f>
        <v>5.8068</v>
      </c>
      <c r="G222" s="11" t="n">
        <v>360</v>
      </c>
    </row>
    <row r="223" customFormat="false" ht="15" hidden="false" customHeight="false" outlineLevel="0" collapsed="false">
      <c r="A223" s="10" t="n">
        <v>47.0962476730347</v>
      </c>
      <c r="B223" s="11" t="n">
        <v>180</v>
      </c>
      <c r="C223" s="12" t="n">
        <f aca="false">B223*'Correction factors'!$B$7</f>
        <v>871.02</v>
      </c>
      <c r="D223" s="13" t="n">
        <v>5.233108</v>
      </c>
      <c r="E223" s="14" t="n">
        <v>72</v>
      </c>
      <c r="F223" s="10" t="n">
        <f aca="false">E223/'Correction factors'!$B$10</f>
        <v>5.8068</v>
      </c>
      <c r="G223" s="11" t="n">
        <v>359</v>
      </c>
    </row>
    <row r="224" customFormat="false" ht="15" hidden="false" customHeight="false" outlineLevel="0" collapsed="false">
      <c r="A224" s="10" t="n">
        <v>47.5141742229462</v>
      </c>
      <c r="B224" s="11" t="n">
        <v>200</v>
      </c>
      <c r="C224" s="12" t="n">
        <f aca="false">B224*'Correction factors'!$B$7</f>
        <v>967.8</v>
      </c>
      <c r="D224" s="13" t="n">
        <v>5.233108</v>
      </c>
      <c r="E224" s="14" t="n">
        <v>72</v>
      </c>
      <c r="F224" s="10" t="n">
        <f aca="false">E224/'Correction factors'!$B$10</f>
        <v>5.8068</v>
      </c>
      <c r="G224" s="11" t="n">
        <v>362</v>
      </c>
    </row>
    <row r="225" customFormat="false" ht="15" hidden="false" customHeight="false" outlineLevel="0" collapsed="false">
      <c r="A225" s="10" t="n">
        <v>47.5141742229462</v>
      </c>
      <c r="B225" s="11" t="n">
        <v>200</v>
      </c>
      <c r="C225" s="12" t="n">
        <f aca="false">B225*'Correction factors'!$B$7</f>
        <v>967.8</v>
      </c>
      <c r="D225" s="13" t="n">
        <v>5.223286</v>
      </c>
      <c r="E225" s="14" t="n">
        <v>80</v>
      </c>
      <c r="F225" s="10" t="n">
        <f aca="false">E225/'Correction factors'!$B$10</f>
        <v>6.452</v>
      </c>
      <c r="G225" s="11" t="n">
        <v>362</v>
      </c>
    </row>
    <row r="226" customFormat="false" ht="15" hidden="false" customHeight="false" outlineLevel="0" collapsed="false">
      <c r="A226" s="10" t="n">
        <v>47.9731986522675</v>
      </c>
      <c r="B226" s="11" t="n">
        <v>200</v>
      </c>
      <c r="C226" s="12" t="n">
        <f aca="false">B226*'Correction factors'!$B$7</f>
        <v>967.8</v>
      </c>
      <c r="D226" s="13" t="n">
        <v>5.213464</v>
      </c>
      <c r="E226" s="14" t="n">
        <v>72</v>
      </c>
      <c r="F226" s="10" t="n">
        <f aca="false">E226/'Correction factors'!$B$10</f>
        <v>5.8068</v>
      </c>
      <c r="G226" s="11" t="n">
        <v>360</v>
      </c>
    </row>
    <row r="227" customFormat="false" ht="15" hidden="false" customHeight="false" outlineLevel="0" collapsed="false">
      <c r="A227" s="10" t="n">
        <v>47.9731986522675</v>
      </c>
      <c r="B227" s="11" t="n">
        <v>200</v>
      </c>
      <c r="C227" s="12" t="n">
        <f aca="false">B227*'Correction factors'!$B$7</f>
        <v>967.8</v>
      </c>
      <c r="D227" s="13" t="n">
        <v>5.213464</v>
      </c>
      <c r="E227" s="14" t="n">
        <v>80</v>
      </c>
      <c r="F227" s="10" t="n">
        <f aca="false">E227/'Correction factors'!$B$10</f>
        <v>6.452</v>
      </c>
      <c r="G227" s="11" t="n">
        <v>360</v>
      </c>
    </row>
    <row r="228" customFormat="false" ht="15" hidden="false" customHeight="false" outlineLevel="0" collapsed="false">
      <c r="A228" s="10" t="n">
        <v>47.9731986522675</v>
      </c>
      <c r="B228" s="11" t="n">
        <v>180</v>
      </c>
      <c r="C228" s="12" t="n">
        <f aca="false">B228*'Correction factors'!$B$7</f>
        <v>871.02</v>
      </c>
      <c r="D228" s="13" t="n">
        <v>5.203642</v>
      </c>
      <c r="E228" s="14" t="n">
        <v>80</v>
      </c>
      <c r="F228" s="10" t="n">
        <f aca="false">E228/'Correction factors'!$B$10</f>
        <v>6.452</v>
      </c>
      <c r="G228" s="11" t="n">
        <v>360</v>
      </c>
    </row>
    <row r="229" customFormat="false" ht="15" hidden="false" customHeight="false" outlineLevel="0" collapsed="false">
      <c r="A229" s="10" t="n">
        <v>48.4453566074371</v>
      </c>
      <c r="B229" s="11" t="n">
        <v>180</v>
      </c>
      <c r="C229" s="12" t="n">
        <f aca="false">B229*'Correction factors'!$B$7</f>
        <v>871.02</v>
      </c>
      <c r="D229" s="13" t="n">
        <v>5.193821</v>
      </c>
      <c r="E229" s="14" t="n">
        <v>72</v>
      </c>
      <c r="F229" s="10" t="n">
        <f aca="false">E229/'Correction factors'!$B$10</f>
        <v>5.8068</v>
      </c>
      <c r="G229" s="11" t="n">
        <v>362</v>
      </c>
    </row>
    <row r="230" customFormat="false" ht="15" hidden="false" customHeight="false" outlineLevel="0" collapsed="false">
      <c r="A230" s="10" t="n">
        <v>48.4453566074371</v>
      </c>
      <c r="B230" s="11" t="n">
        <v>200</v>
      </c>
      <c r="C230" s="12" t="n">
        <f aca="false">B230*'Correction factors'!$B$7</f>
        <v>967.8</v>
      </c>
      <c r="D230" s="13" t="n">
        <v>5.193821</v>
      </c>
      <c r="E230" s="14" t="n">
        <v>80</v>
      </c>
      <c r="F230" s="10" t="n">
        <f aca="false">E230/'Correction factors'!$B$10</f>
        <v>6.452</v>
      </c>
      <c r="G230" s="11" t="n">
        <v>362</v>
      </c>
    </row>
    <row r="231" customFormat="false" ht="15" hidden="false" customHeight="false" outlineLevel="0" collapsed="false">
      <c r="A231" s="10" t="n">
        <v>48.88902759552</v>
      </c>
      <c r="B231" s="11" t="n">
        <v>200</v>
      </c>
      <c r="C231" s="12" t="n">
        <f aca="false">B231*'Correction factors'!$B$7</f>
        <v>967.8</v>
      </c>
      <c r="D231" s="13" t="n">
        <v>5.184</v>
      </c>
      <c r="E231" s="14" t="n">
        <v>80</v>
      </c>
      <c r="F231" s="10" t="n">
        <f aca="false">E231/'Correction factors'!$B$10</f>
        <v>6.452</v>
      </c>
      <c r="G231" s="11" t="n">
        <v>360</v>
      </c>
    </row>
    <row r="232" customFormat="false" ht="15" hidden="false" customHeight="false" outlineLevel="0" collapsed="false">
      <c r="A232" s="10" t="n">
        <v>48.88902759552</v>
      </c>
      <c r="B232" s="11" t="n">
        <v>200</v>
      </c>
      <c r="C232" s="12" t="n">
        <f aca="false">B232*'Correction factors'!$B$7</f>
        <v>967.8</v>
      </c>
      <c r="D232" s="13" t="n">
        <v>5.184</v>
      </c>
      <c r="E232" s="14" t="n">
        <v>72</v>
      </c>
      <c r="F232" s="10" t="n">
        <f aca="false">E232/'Correction factors'!$B$10</f>
        <v>5.8068</v>
      </c>
      <c r="G232" s="11" t="n">
        <v>360</v>
      </c>
    </row>
    <row r="233" customFormat="false" ht="15" hidden="false" customHeight="false" outlineLevel="0" collapsed="false">
      <c r="A233" s="10" t="n">
        <v>49.3144643306732</v>
      </c>
      <c r="B233" s="11" t="n">
        <v>200</v>
      </c>
      <c r="C233" s="12" t="n">
        <f aca="false">B233*'Correction factors'!$B$7</f>
        <v>967.8</v>
      </c>
      <c r="D233" s="13" t="n">
        <v>5.184</v>
      </c>
      <c r="E233" s="14" t="n">
        <v>80</v>
      </c>
      <c r="F233" s="10" t="n">
        <f aca="false">E233/'Correction factors'!$B$10</f>
        <v>6.452</v>
      </c>
      <c r="G233" s="11" t="n">
        <v>360</v>
      </c>
    </row>
    <row r="234" customFormat="false" ht="15" hidden="false" customHeight="false" outlineLevel="0" collapsed="false">
      <c r="A234" s="10" t="n">
        <v>49.3144643306732</v>
      </c>
      <c r="B234" s="11" t="n">
        <v>180</v>
      </c>
      <c r="C234" s="12" t="n">
        <f aca="false">B234*'Correction factors'!$B$7</f>
        <v>871.02</v>
      </c>
      <c r="D234" s="13" t="n">
        <v>5.164356</v>
      </c>
      <c r="E234" s="14" t="n">
        <v>72</v>
      </c>
      <c r="F234" s="10" t="n">
        <f aca="false">E234/'Correction factors'!$B$10</f>
        <v>5.8068</v>
      </c>
      <c r="G234" s="11" t="n">
        <v>360</v>
      </c>
    </row>
    <row r="235" customFormat="false" ht="15" hidden="false" customHeight="false" outlineLevel="0" collapsed="false">
      <c r="A235" s="10" t="n">
        <v>49.7505466938019</v>
      </c>
      <c r="B235" s="11" t="n">
        <v>180</v>
      </c>
      <c r="C235" s="12" t="n">
        <f aca="false">B235*'Correction factors'!$B$7</f>
        <v>871.02</v>
      </c>
      <c r="D235" s="13" t="n">
        <v>5.164356</v>
      </c>
      <c r="E235" s="14" t="n">
        <v>80</v>
      </c>
      <c r="F235" s="10" t="n">
        <f aca="false">E235/'Correction factors'!$B$10</f>
        <v>6.452</v>
      </c>
      <c r="G235" s="11" t="n">
        <v>363</v>
      </c>
    </row>
    <row r="236" customFormat="false" ht="15" hidden="false" customHeight="false" outlineLevel="0" collapsed="false">
      <c r="A236" s="10" t="n">
        <v>49.7505466938019</v>
      </c>
      <c r="B236" s="11" t="n">
        <v>200</v>
      </c>
      <c r="C236" s="12" t="n">
        <f aca="false">B236*'Correction factors'!$B$7</f>
        <v>967.8</v>
      </c>
      <c r="D236" s="13" t="n">
        <v>5.144713</v>
      </c>
      <c r="E236" s="14" t="n">
        <v>80</v>
      </c>
      <c r="F236" s="10" t="n">
        <f aca="false">E236/'Correction factors'!$B$10</f>
        <v>6.452</v>
      </c>
      <c r="G236" s="11" t="n">
        <v>363</v>
      </c>
    </row>
    <row r="237" customFormat="false" ht="15" hidden="false" customHeight="false" outlineLevel="0" collapsed="false">
      <c r="A237" s="10" t="n">
        <v>50.1828196048737</v>
      </c>
      <c r="B237" s="11" t="n">
        <v>220</v>
      </c>
      <c r="C237" s="12" t="n">
        <f aca="false">B237*'Correction factors'!$B$7</f>
        <v>1064.58</v>
      </c>
      <c r="D237" s="13" t="n">
        <v>5.144713</v>
      </c>
      <c r="E237" s="14" t="n">
        <v>80</v>
      </c>
      <c r="F237" s="10" t="n">
        <f aca="false">E237/'Correction factors'!$B$10</f>
        <v>6.452</v>
      </c>
      <c r="G237" s="11" t="n">
        <v>362</v>
      </c>
    </row>
    <row r="238" customFormat="false" ht="15" hidden="false" customHeight="false" outlineLevel="0" collapsed="false">
      <c r="A238" s="10" t="n">
        <v>50.1828196048737</v>
      </c>
      <c r="B238" s="11" t="n">
        <v>200</v>
      </c>
      <c r="C238" s="12" t="n">
        <f aca="false">B238*'Correction factors'!$B$7</f>
        <v>967.8</v>
      </c>
      <c r="D238" s="13" t="n">
        <v>5.134892</v>
      </c>
      <c r="E238" s="14" t="n">
        <v>80</v>
      </c>
      <c r="F238" s="10" t="n">
        <f aca="false">E238/'Correction factors'!$B$10</f>
        <v>6.452</v>
      </c>
      <c r="G238" s="11" t="n">
        <v>360</v>
      </c>
    </row>
    <row r="239" customFormat="false" ht="15" hidden="false" customHeight="false" outlineLevel="0" collapsed="false">
      <c r="A239" s="10" t="n">
        <v>50.644038438797</v>
      </c>
      <c r="B239" s="11" t="n">
        <v>200</v>
      </c>
      <c r="C239" s="12" t="n">
        <f aca="false">B239*'Correction factors'!$B$7</f>
        <v>967.8</v>
      </c>
      <c r="D239" s="13" t="n">
        <v>5.134892</v>
      </c>
      <c r="E239" s="14" t="n">
        <v>80</v>
      </c>
      <c r="F239" s="10" t="n">
        <f aca="false">E239/'Correction factors'!$B$10</f>
        <v>6.452</v>
      </c>
      <c r="G239" s="11" t="n">
        <v>360</v>
      </c>
    </row>
    <row r="240" customFormat="false" ht="15" hidden="false" customHeight="false" outlineLevel="0" collapsed="false">
      <c r="A240" s="10" t="n">
        <v>50.644038438797</v>
      </c>
      <c r="B240" s="11" t="n">
        <v>200</v>
      </c>
      <c r="C240" s="12" t="n">
        <f aca="false">B240*'Correction factors'!$B$7</f>
        <v>967.8</v>
      </c>
      <c r="D240" s="13" t="n">
        <v>5.105427</v>
      </c>
      <c r="E240" s="14" t="n">
        <v>80</v>
      </c>
      <c r="F240" s="10" t="n">
        <f aca="false">E240/'Correction factors'!$B$10</f>
        <v>6.452</v>
      </c>
      <c r="G240" s="11" t="n">
        <v>360</v>
      </c>
    </row>
    <row r="241" customFormat="false" ht="15" hidden="false" customHeight="false" outlineLevel="0" collapsed="false">
      <c r="A241" s="10" t="n">
        <v>50.644038438797</v>
      </c>
      <c r="B241" s="11" t="n">
        <v>200</v>
      </c>
      <c r="C241" s="12" t="n">
        <f aca="false">B241*'Correction factors'!$B$7</f>
        <v>967.8</v>
      </c>
      <c r="D241" s="13" t="n">
        <v>5.105427</v>
      </c>
      <c r="E241" s="14" t="n">
        <v>88</v>
      </c>
      <c r="F241" s="10" t="n">
        <f aca="false">E241/'Correction factors'!$B$10</f>
        <v>7.0972</v>
      </c>
      <c r="G241" s="11" t="n">
        <v>362</v>
      </c>
    </row>
    <row r="242" customFormat="false" ht="15" hidden="false" customHeight="false" outlineLevel="0" collapsed="false">
      <c r="A242" s="10" t="n">
        <v>51.1556358337402</v>
      </c>
      <c r="B242" s="11" t="n">
        <v>200</v>
      </c>
      <c r="C242" s="12" t="n">
        <f aca="false">B242*'Correction factors'!$B$7</f>
        <v>967.8</v>
      </c>
      <c r="D242" s="13" t="n">
        <v>5.095605</v>
      </c>
      <c r="E242" s="14" t="n">
        <v>80</v>
      </c>
      <c r="F242" s="10" t="n">
        <f aca="false">E242/'Correction factors'!$B$10</f>
        <v>6.452</v>
      </c>
      <c r="G242" s="11" t="n">
        <v>360</v>
      </c>
    </row>
    <row r="243" customFormat="false" ht="15" hidden="false" customHeight="false" outlineLevel="0" collapsed="false">
      <c r="A243" s="10" t="n">
        <v>51.1556358337402</v>
      </c>
      <c r="B243" s="11" t="n">
        <v>220</v>
      </c>
      <c r="C243" s="12" t="n">
        <f aca="false">B243*'Correction factors'!$B$7</f>
        <v>1064.58</v>
      </c>
      <c r="D243" s="13" t="n">
        <v>5.095605</v>
      </c>
      <c r="E243" s="14" t="n">
        <v>80</v>
      </c>
      <c r="F243" s="10" t="n">
        <f aca="false">E243/'Correction factors'!$B$10</f>
        <v>6.452</v>
      </c>
      <c r="G243" s="11" t="n">
        <v>360</v>
      </c>
    </row>
    <row r="244" customFormat="false" ht="15" hidden="false" customHeight="false" outlineLevel="0" collapsed="false">
      <c r="A244" s="10" t="n">
        <v>51.605988740921</v>
      </c>
      <c r="B244" s="11" t="n">
        <v>200</v>
      </c>
      <c r="C244" s="12" t="n">
        <f aca="false">B244*'Correction factors'!$B$7</f>
        <v>967.8</v>
      </c>
      <c r="D244" s="13" t="n">
        <v>5.095605</v>
      </c>
      <c r="E244" s="14" t="n">
        <v>80</v>
      </c>
      <c r="F244" s="10" t="n">
        <f aca="false">E244/'Correction factors'!$B$10</f>
        <v>6.452</v>
      </c>
      <c r="G244" s="11" t="n">
        <v>360</v>
      </c>
    </row>
    <row r="245" customFormat="false" ht="15" hidden="false" customHeight="false" outlineLevel="0" collapsed="false">
      <c r="A245" s="10" t="n">
        <v>51.605988740921</v>
      </c>
      <c r="B245" s="11" t="n">
        <v>200</v>
      </c>
      <c r="C245" s="12" t="n">
        <f aca="false">B245*'Correction factors'!$B$7</f>
        <v>967.8</v>
      </c>
      <c r="D245" s="13" t="n">
        <v>5.085783</v>
      </c>
      <c r="E245" s="14" t="n">
        <v>72</v>
      </c>
      <c r="F245" s="10" t="n">
        <f aca="false">E245/'Correction factors'!$B$10</f>
        <v>5.8068</v>
      </c>
      <c r="G245" s="11" t="n">
        <v>360</v>
      </c>
    </row>
    <row r="246" customFormat="false" ht="15" hidden="false" customHeight="false" outlineLevel="0" collapsed="false">
      <c r="A246" s="10" t="n">
        <v>52.0435664653778</v>
      </c>
      <c r="B246" s="11" t="n">
        <v>200</v>
      </c>
      <c r="C246" s="12" t="n">
        <f aca="false">B246*'Correction factors'!$B$7</f>
        <v>967.8</v>
      </c>
      <c r="D246" s="13" t="n">
        <v>5.075962</v>
      </c>
      <c r="E246" s="14" t="n">
        <v>80</v>
      </c>
      <c r="F246" s="10" t="n">
        <f aca="false">E246/'Correction factors'!$B$10</f>
        <v>6.452</v>
      </c>
      <c r="G246" s="11" t="n">
        <v>360</v>
      </c>
    </row>
    <row r="247" customFormat="false" ht="15" hidden="false" customHeight="false" outlineLevel="0" collapsed="false">
      <c r="A247" s="10" t="n">
        <v>52.0435664653778</v>
      </c>
      <c r="B247" s="11" t="n">
        <v>200</v>
      </c>
      <c r="C247" s="12" t="n">
        <f aca="false">B247*'Correction factors'!$B$7</f>
        <v>967.8</v>
      </c>
      <c r="D247" s="13" t="n">
        <v>5.075962</v>
      </c>
      <c r="E247" s="14" t="n">
        <v>80</v>
      </c>
      <c r="F247" s="10" t="n">
        <f aca="false">E247/'Correction factors'!$B$10</f>
        <v>6.452</v>
      </c>
      <c r="G247" s="11" t="n">
        <v>360</v>
      </c>
    </row>
    <row r="248" customFormat="false" ht="15" hidden="false" customHeight="false" outlineLevel="0" collapsed="false">
      <c r="A248" s="10" t="n">
        <v>52.5195252895355</v>
      </c>
      <c r="B248" s="11" t="n">
        <v>200</v>
      </c>
      <c r="C248" s="12" t="n">
        <f aca="false">B248*'Correction factors'!$B$7</f>
        <v>967.8</v>
      </c>
      <c r="D248" s="13" t="n">
        <v>5.075962</v>
      </c>
      <c r="E248" s="14" t="n">
        <v>80</v>
      </c>
      <c r="F248" s="10" t="n">
        <f aca="false">E248/'Correction factors'!$B$10</f>
        <v>6.452</v>
      </c>
      <c r="G248" s="11" t="n">
        <v>360</v>
      </c>
    </row>
    <row r="249" customFormat="false" ht="15" hidden="false" customHeight="false" outlineLevel="0" collapsed="false">
      <c r="A249" s="10" t="n">
        <v>52.5195252895355</v>
      </c>
      <c r="B249" s="11" t="n">
        <v>180</v>
      </c>
      <c r="C249" s="12" t="n">
        <f aca="false">B249*'Correction factors'!$B$7</f>
        <v>871.02</v>
      </c>
      <c r="D249" s="13" t="n">
        <v>5.075962</v>
      </c>
      <c r="E249" s="14" t="n">
        <v>80</v>
      </c>
      <c r="F249" s="10" t="n">
        <f aca="false">E249/'Correction factors'!$B$10</f>
        <v>6.452</v>
      </c>
      <c r="G249" s="11" t="n">
        <v>360</v>
      </c>
    </row>
    <row r="250" customFormat="false" ht="15" hidden="false" customHeight="false" outlineLevel="0" collapsed="false">
      <c r="A250" s="10" t="n">
        <v>52.5195252895355</v>
      </c>
      <c r="B250" s="11" t="n">
        <v>200</v>
      </c>
      <c r="C250" s="12" t="n">
        <f aca="false">B250*'Correction factors'!$B$7</f>
        <v>967.8</v>
      </c>
      <c r="D250" s="13" t="n">
        <v>5.06614</v>
      </c>
      <c r="E250" s="14" t="n">
        <v>80</v>
      </c>
      <c r="F250" s="10" t="n">
        <f aca="false">E250/'Correction factors'!$B$10</f>
        <v>6.452</v>
      </c>
      <c r="G250" s="11" t="n">
        <v>363</v>
      </c>
    </row>
    <row r="251" customFormat="false" ht="15" hidden="false" customHeight="false" outlineLevel="0" collapsed="false">
      <c r="A251" s="10" t="n">
        <v>53.0016443729401</v>
      </c>
      <c r="B251" s="11" t="n">
        <v>200</v>
      </c>
      <c r="C251" s="12" t="n">
        <f aca="false">B251*'Correction factors'!$B$7</f>
        <v>967.8</v>
      </c>
      <c r="D251" s="13" t="n">
        <v>5.056319</v>
      </c>
      <c r="E251" s="14" t="n">
        <v>80</v>
      </c>
      <c r="F251" s="10" t="n">
        <f aca="false">E251/'Correction factors'!$B$10</f>
        <v>6.452</v>
      </c>
      <c r="G251" s="11" t="n">
        <v>360</v>
      </c>
    </row>
    <row r="252" customFormat="false" ht="15" hidden="false" customHeight="false" outlineLevel="0" collapsed="false">
      <c r="A252" s="10" t="n">
        <v>53.0016443729401</v>
      </c>
      <c r="B252" s="11" t="n">
        <v>200</v>
      </c>
      <c r="C252" s="12" t="n">
        <f aca="false">B252*'Correction factors'!$B$7</f>
        <v>967.8</v>
      </c>
      <c r="D252" s="13" t="n">
        <v>5.046497</v>
      </c>
      <c r="E252" s="14" t="n">
        <v>80</v>
      </c>
      <c r="F252" s="10" t="n">
        <f aca="false">E252/'Correction factors'!$B$10</f>
        <v>6.452</v>
      </c>
      <c r="G252" s="11" t="n">
        <v>360</v>
      </c>
    </row>
    <row r="253" customFormat="false" ht="15" hidden="false" customHeight="false" outlineLevel="0" collapsed="false">
      <c r="A253" s="10" t="n">
        <v>53.4399893283844</v>
      </c>
      <c r="B253" s="11" t="n">
        <v>200</v>
      </c>
      <c r="C253" s="12" t="n">
        <f aca="false">B253*'Correction factors'!$B$7</f>
        <v>967.8</v>
      </c>
      <c r="D253" s="13" t="n">
        <v>5.036675</v>
      </c>
      <c r="E253" s="14" t="n">
        <v>80</v>
      </c>
      <c r="F253" s="10" t="n">
        <f aca="false">E253/'Correction factors'!$B$10</f>
        <v>6.452</v>
      </c>
      <c r="G253" s="11" t="n">
        <v>360</v>
      </c>
    </row>
    <row r="254" customFormat="false" ht="15" hidden="false" customHeight="false" outlineLevel="0" collapsed="false">
      <c r="A254" s="10" t="n">
        <v>53.4399893283844</v>
      </c>
      <c r="B254" s="11" t="n">
        <v>200</v>
      </c>
      <c r="C254" s="12" t="n">
        <f aca="false">B254*'Correction factors'!$B$7</f>
        <v>967.8</v>
      </c>
      <c r="D254" s="13" t="n">
        <v>5.056319</v>
      </c>
      <c r="E254" s="14" t="n">
        <v>80</v>
      </c>
      <c r="F254" s="10" t="n">
        <f aca="false">E254/'Correction factors'!$B$10</f>
        <v>6.452</v>
      </c>
      <c r="G254" s="11" t="n">
        <v>360</v>
      </c>
    </row>
    <row r="255" customFormat="false" ht="15" hidden="false" customHeight="false" outlineLevel="0" collapsed="false">
      <c r="A255" s="10" t="n">
        <v>53.8940033912659</v>
      </c>
      <c r="B255" s="11" t="n">
        <v>200</v>
      </c>
      <c r="C255" s="12" t="n">
        <f aca="false">B255*'Correction factors'!$B$7</f>
        <v>967.8</v>
      </c>
      <c r="D255" s="13" t="n">
        <v>5.036675</v>
      </c>
      <c r="E255" s="14" t="n">
        <v>80</v>
      </c>
      <c r="F255" s="10" t="n">
        <f aca="false">E255/'Correction factors'!$B$10</f>
        <v>6.452</v>
      </c>
      <c r="G255" s="11" t="n">
        <v>360</v>
      </c>
    </row>
    <row r="256" customFormat="false" ht="15" hidden="false" customHeight="false" outlineLevel="0" collapsed="false">
      <c r="A256" s="10" t="n">
        <v>53.8940033912659</v>
      </c>
      <c r="B256" s="11" t="n">
        <v>200</v>
      </c>
      <c r="C256" s="12" t="n">
        <f aca="false">B256*'Correction factors'!$B$7</f>
        <v>967.8</v>
      </c>
      <c r="D256" s="13" t="n">
        <v>5.036675</v>
      </c>
      <c r="E256" s="14" t="n">
        <v>80</v>
      </c>
      <c r="F256" s="10" t="n">
        <f aca="false">E256/'Correction factors'!$B$10</f>
        <v>6.452</v>
      </c>
      <c r="G256" s="11" t="n">
        <v>360</v>
      </c>
    </row>
    <row r="257" customFormat="false" ht="15" hidden="false" customHeight="false" outlineLevel="0" collapsed="false">
      <c r="A257" s="10" t="n">
        <v>54.3394997119904</v>
      </c>
      <c r="B257" s="11" t="n">
        <v>200</v>
      </c>
      <c r="C257" s="12" t="n">
        <f aca="false">B257*'Correction factors'!$B$7</f>
        <v>967.8</v>
      </c>
      <c r="D257" s="13" t="n">
        <v>5.026854</v>
      </c>
      <c r="E257" s="14" t="n">
        <v>72</v>
      </c>
      <c r="F257" s="10" t="n">
        <f aca="false">E257/'Correction factors'!$B$10</f>
        <v>5.8068</v>
      </c>
      <c r="G257" s="11" t="n">
        <v>362</v>
      </c>
    </row>
    <row r="258" customFormat="false" ht="15" hidden="false" customHeight="false" outlineLevel="0" collapsed="false">
      <c r="A258" s="10" t="n">
        <v>54.3394997119904</v>
      </c>
      <c r="B258" s="11" t="n">
        <v>200</v>
      </c>
      <c r="C258" s="12" t="n">
        <f aca="false">B258*'Correction factors'!$B$7</f>
        <v>967.8</v>
      </c>
      <c r="D258" s="13" t="n">
        <v>5.026854</v>
      </c>
      <c r="E258" s="14" t="n">
        <v>80</v>
      </c>
      <c r="F258" s="10" t="n">
        <f aca="false">E258/'Correction factors'!$B$10</f>
        <v>6.452</v>
      </c>
      <c r="G258" s="11" t="n">
        <v>362</v>
      </c>
    </row>
    <row r="259" customFormat="false" ht="15" hidden="false" customHeight="false" outlineLevel="0" collapsed="false">
      <c r="A259" s="10" t="n">
        <v>54.7800498008728</v>
      </c>
      <c r="B259" s="11" t="n">
        <v>180</v>
      </c>
      <c r="C259" s="12" t="n">
        <f aca="false">B259*'Correction factors'!$B$7</f>
        <v>871.02</v>
      </c>
      <c r="D259" s="13" t="n">
        <v>5.017033</v>
      </c>
      <c r="E259" s="14" t="n">
        <v>80</v>
      </c>
      <c r="F259" s="10" t="n">
        <f aca="false">E259/'Correction factors'!$B$10</f>
        <v>6.452</v>
      </c>
      <c r="G259" s="11" t="n">
        <v>362</v>
      </c>
    </row>
    <row r="260" customFormat="false" ht="15" hidden="false" customHeight="false" outlineLevel="0" collapsed="false">
      <c r="A260" s="10" t="n">
        <v>54.7800498008728</v>
      </c>
      <c r="B260" s="11" t="n">
        <v>200</v>
      </c>
      <c r="C260" s="12" t="n">
        <f aca="false">B260*'Correction factors'!$B$7</f>
        <v>967.8</v>
      </c>
      <c r="D260" s="13" t="n">
        <v>5.017033</v>
      </c>
      <c r="E260" s="14" t="n">
        <v>80</v>
      </c>
      <c r="F260" s="10" t="n">
        <f aca="false">E260/'Correction factors'!$B$10</f>
        <v>6.452</v>
      </c>
      <c r="G260" s="11" t="n">
        <v>362</v>
      </c>
    </row>
    <row r="261" customFormat="false" ht="15" hidden="false" customHeight="false" outlineLevel="0" collapsed="false">
      <c r="A261" s="10" t="n">
        <v>55.2148430347443</v>
      </c>
      <c r="B261" s="11" t="n">
        <v>200</v>
      </c>
      <c r="C261" s="12" t="n">
        <f aca="false">B261*'Correction factors'!$B$7</f>
        <v>967.8</v>
      </c>
      <c r="D261" s="13" t="n">
        <v>5.017033</v>
      </c>
      <c r="E261" s="14" t="n">
        <v>80</v>
      </c>
      <c r="F261" s="10" t="n">
        <f aca="false">E261/'Correction factors'!$B$10</f>
        <v>6.452</v>
      </c>
      <c r="G261" s="11" t="n">
        <v>360</v>
      </c>
    </row>
    <row r="262" customFormat="false" ht="15" hidden="false" customHeight="false" outlineLevel="0" collapsed="false">
      <c r="A262" s="10" t="n">
        <v>55.2148430347443</v>
      </c>
      <c r="B262" s="11" t="n">
        <v>220</v>
      </c>
      <c r="C262" s="12" t="n">
        <f aca="false">B262*'Correction factors'!$B$7</f>
        <v>1064.58</v>
      </c>
      <c r="D262" s="13" t="n">
        <v>5.007211</v>
      </c>
      <c r="E262" s="14" t="n">
        <v>80</v>
      </c>
      <c r="F262" s="10" t="n">
        <f aca="false">E262/'Correction factors'!$B$10</f>
        <v>6.452</v>
      </c>
      <c r="G262" s="11" t="n">
        <v>362</v>
      </c>
    </row>
    <row r="263" customFormat="false" ht="15" hidden="false" customHeight="false" outlineLevel="0" collapsed="false">
      <c r="A263" s="10" t="n">
        <v>55.2148430347443</v>
      </c>
      <c r="B263" s="11" t="n">
        <v>200</v>
      </c>
      <c r="C263" s="12" t="n">
        <f aca="false">B263*'Correction factors'!$B$7</f>
        <v>967.8</v>
      </c>
      <c r="D263" s="13" t="n">
        <v>5.007211</v>
      </c>
      <c r="E263" s="14" t="n">
        <v>72</v>
      </c>
      <c r="F263" s="10" t="n">
        <f aca="false">E263/'Correction factors'!$B$10</f>
        <v>5.8068</v>
      </c>
      <c r="G263" s="11" t="n">
        <v>360</v>
      </c>
    </row>
    <row r="264" customFormat="false" ht="15" hidden="false" customHeight="false" outlineLevel="0" collapsed="false">
      <c r="A264" s="10" t="n">
        <v>55.6967904567719</v>
      </c>
      <c r="B264" s="11" t="n">
        <v>200</v>
      </c>
      <c r="C264" s="12" t="n">
        <f aca="false">B264*'Correction factors'!$B$7</f>
        <v>967.8</v>
      </c>
      <c r="D264" s="13" t="n">
        <v>4.997389</v>
      </c>
      <c r="E264" s="14" t="n">
        <v>80</v>
      </c>
      <c r="F264" s="10" t="n">
        <f aca="false">E264/'Correction factors'!$B$10</f>
        <v>6.452</v>
      </c>
      <c r="G264" s="11" t="n">
        <v>360</v>
      </c>
    </row>
    <row r="265" customFormat="false" ht="15" hidden="false" customHeight="false" outlineLevel="0" collapsed="false">
      <c r="A265" s="10" t="n">
        <v>55.6967904567719</v>
      </c>
      <c r="B265" s="11" t="n">
        <v>200</v>
      </c>
      <c r="C265" s="12" t="n">
        <f aca="false">B265*'Correction factors'!$B$7</f>
        <v>967.8</v>
      </c>
      <c r="D265" s="13" t="n">
        <v>4.987567</v>
      </c>
      <c r="E265" s="14" t="n">
        <v>80</v>
      </c>
      <c r="F265" s="10" t="n">
        <f aca="false">E265/'Correction factors'!$B$10</f>
        <v>6.452</v>
      </c>
      <c r="G265" s="11" t="n">
        <v>360</v>
      </c>
    </row>
    <row r="266" customFormat="false" ht="15" hidden="false" customHeight="false" outlineLevel="0" collapsed="false">
      <c r="A266" s="10" t="n">
        <v>56.1502735614777</v>
      </c>
      <c r="B266" s="11" t="n">
        <v>200</v>
      </c>
      <c r="C266" s="12" t="n">
        <f aca="false">B266*'Correction factors'!$B$7</f>
        <v>967.8</v>
      </c>
      <c r="D266" s="13" t="n">
        <v>4.997389</v>
      </c>
      <c r="E266" s="14" t="n">
        <v>80</v>
      </c>
      <c r="F266" s="10" t="n">
        <f aca="false">E266/'Correction factors'!$B$10</f>
        <v>6.452</v>
      </c>
      <c r="G266" s="11" t="n">
        <v>360</v>
      </c>
    </row>
    <row r="267" customFormat="false" ht="15" hidden="false" customHeight="false" outlineLevel="0" collapsed="false">
      <c r="A267" s="10" t="n">
        <v>56.1502735614777</v>
      </c>
      <c r="B267" s="11" t="n">
        <v>200</v>
      </c>
      <c r="C267" s="12" t="n">
        <f aca="false">B267*'Correction factors'!$B$7</f>
        <v>967.8</v>
      </c>
      <c r="D267" s="13" t="n">
        <v>4.987567</v>
      </c>
      <c r="E267" s="14" t="n">
        <v>72</v>
      </c>
      <c r="F267" s="10" t="n">
        <f aca="false">E267/'Correction factors'!$B$10</f>
        <v>5.8068</v>
      </c>
      <c r="G267" s="11" t="n">
        <v>362</v>
      </c>
    </row>
    <row r="268" customFormat="false" ht="15" hidden="false" customHeight="false" outlineLevel="0" collapsed="false">
      <c r="A268" s="10" t="n">
        <v>56.5934383869171</v>
      </c>
      <c r="B268" s="11" t="n">
        <v>200</v>
      </c>
      <c r="C268" s="12" t="n">
        <f aca="false">B268*'Correction factors'!$B$7</f>
        <v>967.8</v>
      </c>
      <c r="D268" s="13" t="n">
        <v>4.987567</v>
      </c>
      <c r="E268" s="14" t="n">
        <v>80</v>
      </c>
      <c r="F268" s="10" t="n">
        <f aca="false">E268/'Correction factors'!$B$10</f>
        <v>6.452</v>
      </c>
      <c r="G268" s="11" t="n">
        <v>360</v>
      </c>
    </row>
    <row r="269" customFormat="false" ht="15" hidden="false" customHeight="false" outlineLevel="0" collapsed="false">
      <c r="A269" s="10" t="n">
        <v>56.5934383869171</v>
      </c>
      <c r="B269" s="11" t="n">
        <v>180</v>
      </c>
      <c r="C269" s="12" t="n">
        <f aca="false">B269*'Correction factors'!$B$7</f>
        <v>871.02</v>
      </c>
      <c r="D269" s="13" t="n">
        <v>4.987567</v>
      </c>
      <c r="E269" s="14" t="n">
        <v>80</v>
      </c>
      <c r="F269" s="10" t="n">
        <f aca="false">E269/'Correction factors'!$B$10</f>
        <v>6.452</v>
      </c>
      <c r="G269" s="11" t="n">
        <v>362</v>
      </c>
    </row>
    <row r="270" customFormat="false" ht="15" hidden="false" customHeight="false" outlineLevel="0" collapsed="false">
      <c r="A270" s="10" t="n">
        <v>57.0698075294495</v>
      </c>
      <c r="B270" s="11" t="n">
        <v>180</v>
      </c>
      <c r="C270" s="12" t="n">
        <f aca="false">B270*'Correction factors'!$B$7</f>
        <v>871.02</v>
      </c>
      <c r="D270" s="13" t="n">
        <v>4.977746</v>
      </c>
      <c r="E270" s="14" t="n">
        <v>80</v>
      </c>
      <c r="F270" s="10" t="n">
        <f aca="false">E270/'Correction factors'!$B$10</f>
        <v>6.452</v>
      </c>
      <c r="G270" s="11" t="n">
        <v>363</v>
      </c>
    </row>
    <row r="271" customFormat="false" ht="15" hidden="false" customHeight="false" outlineLevel="0" collapsed="false">
      <c r="A271" s="10" t="n">
        <v>57.0698075294495</v>
      </c>
      <c r="B271" s="11" t="n">
        <v>200</v>
      </c>
      <c r="C271" s="12" t="n">
        <f aca="false">B271*'Correction factors'!$B$7</f>
        <v>967.8</v>
      </c>
      <c r="D271" s="13" t="n">
        <v>4.967924</v>
      </c>
      <c r="E271" s="14" t="n">
        <v>80</v>
      </c>
      <c r="F271" s="10" t="n">
        <f aca="false">E271/'Correction factors'!$B$10</f>
        <v>6.452</v>
      </c>
      <c r="G271" s="11" t="n">
        <v>363</v>
      </c>
    </row>
    <row r="272" customFormat="false" ht="15" hidden="false" customHeight="false" outlineLevel="0" collapsed="false">
      <c r="A272" s="10" t="n">
        <v>57.0698075294495</v>
      </c>
      <c r="B272" s="11" t="n">
        <v>200</v>
      </c>
      <c r="C272" s="12" t="n">
        <f aca="false">B272*'Correction factors'!$B$7</f>
        <v>967.8</v>
      </c>
      <c r="D272" s="13" t="n">
        <v>4.958103</v>
      </c>
      <c r="E272" s="14" t="n">
        <v>80</v>
      </c>
      <c r="F272" s="10" t="n">
        <f aca="false">E272/'Correction factors'!$B$10</f>
        <v>6.452</v>
      </c>
      <c r="G272" s="11" t="n">
        <v>364</v>
      </c>
    </row>
    <row r="273" customFormat="false" ht="15" hidden="false" customHeight="false" outlineLevel="0" collapsed="false">
      <c r="A273" s="10" t="n">
        <v>57.5772347450256</v>
      </c>
      <c r="B273" s="11" t="n">
        <v>200</v>
      </c>
      <c r="C273" s="12" t="n">
        <f aca="false">B273*'Correction factors'!$B$7</f>
        <v>967.8</v>
      </c>
      <c r="D273" s="13" t="n">
        <v>4.948281</v>
      </c>
      <c r="E273" s="14" t="n">
        <v>80</v>
      </c>
      <c r="F273" s="10" t="n">
        <f aca="false">E273/'Correction factors'!$B$10</f>
        <v>6.452</v>
      </c>
      <c r="G273" s="11" t="n">
        <v>362</v>
      </c>
    </row>
    <row r="274" customFormat="false" ht="15" hidden="false" customHeight="false" outlineLevel="0" collapsed="false">
      <c r="A274" s="10" t="n">
        <v>57.5772347450256</v>
      </c>
      <c r="B274" s="11" t="n">
        <v>200</v>
      </c>
      <c r="C274" s="12" t="n">
        <f aca="false">B274*'Correction factors'!$B$7</f>
        <v>967.8</v>
      </c>
      <c r="D274" s="13" t="n">
        <v>4.948281</v>
      </c>
      <c r="E274" s="14" t="n">
        <v>80</v>
      </c>
      <c r="F274" s="10" t="n">
        <f aca="false">E274/'Correction factors'!$B$10</f>
        <v>6.452</v>
      </c>
      <c r="G274" s="11" t="n">
        <v>362</v>
      </c>
    </row>
    <row r="275" customFormat="false" ht="15" hidden="false" customHeight="false" outlineLevel="0" collapsed="false">
      <c r="A275" s="10" t="n">
        <v>58.0237393379211</v>
      </c>
      <c r="B275" s="11" t="n">
        <v>200</v>
      </c>
      <c r="C275" s="12" t="n">
        <f aca="false">B275*'Correction factors'!$B$7</f>
        <v>967.8</v>
      </c>
      <c r="D275" s="13" t="n">
        <v>4.938459</v>
      </c>
      <c r="E275" s="14" t="n">
        <v>80</v>
      </c>
      <c r="F275" s="10" t="n">
        <f aca="false">E275/'Correction factors'!$B$10</f>
        <v>6.452</v>
      </c>
      <c r="G275" s="11" t="n">
        <v>362</v>
      </c>
    </row>
    <row r="276" customFormat="false" ht="15" hidden="false" customHeight="false" outlineLevel="0" collapsed="false">
      <c r="A276" s="10" t="n">
        <v>58.0237393379211</v>
      </c>
      <c r="B276" s="11" t="n">
        <v>200</v>
      </c>
      <c r="C276" s="12" t="n">
        <f aca="false">B276*'Correction factors'!$B$7</f>
        <v>967.8</v>
      </c>
      <c r="D276" s="13" t="n">
        <v>4.938459</v>
      </c>
      <c r="E276" s="14" t="n">
        <v>80</v>
      </c>
      <c r="F276" s="10" t="n">
        <f aca="false">E276/'Correction factors'!$B$10</f>
        <v>6.452</v>
      </c>
      <c r="G276" s="11" t="n">
        <v>362</v>
      </c>
    </row>
    <row r="277" customFormat="false" ht="15" hidden="false" customHeight="false" outlineLevel="0" collapsed="false">
      <c r="A277" s="10" t="n">
        <v>58.4700326919556</v>
      </c>
      <c r="B277" s="11" t="n">
        <v>200</v>
      </c>
      <c r="C277" s="12" t="n">
        <f aca="false">B277*'Correction factors'!$B$7</f>
        <v>967.8</v>
      </c>
      <c r="D277" s="13" t="n">
        <v>4.928638</v>
      </c>
      <c r="E277" s="14" t="n">
        <v>80</v>
      </c>
      <c r="F277" s="10" t="n">
        <f aca="false">E277/'Correction factors'!$B$10</f>
        <v>6.452</v>
      </c>
      <c r="G277" s="11" t="n">
        <v>362</v>
      </c>
    </row>
    <row r="278" customFormat="false" ht="15" hidden="false" customHeight="false" outlineLevel="0" collapsed="false">
      <c r="A278" s="10" t="n">
        <v>58.4700326919556</v>
      </c>
      <c r="B278" s="11" t="n">
        <v>200</v>
      </c>
      <c r="C278" s="12" t="n">
        <f aca="false">B278*'Correction factors'!$B$7</f>
        <v>967.8</v>
      </c>
      <c r="D278" s="13" t="n">
        <v>4.918817</v>
      </c>
      <c r="E278" s="14" t="n">
        <v>80</v>
      </c>
      <c r="F278" s="10" t="n">
        <f aca="false">E278/'Correction factors'!$B$10</f>
        <v>6.452</v>
      </c>
      <c r="G278" s="11" t="n">
        <v>362</v>
      </c>
    </row>
    <row r="279" customFormat="false" ht="15" hidden="false" customHeight="false" outlineLevel="0" collapsed="false">
      <c r="A279" s="10" t="n">
        <v>58.91845536232</v>
      </c>
      <c r="B279" s="11" t="n">
        <v>180</v>
      </c>
      <c r="C279" s="12" t="n">
        <f aca="false">B279*'Correction factors'!$B$7</f>
        <v>871.02</v>
      </c>
      <c r="D279" s="13" t="n">
        <v>4.908995</v>
      </c>
      <c r="E279" s="14" t="n">
        <v>80</v>
      </c>
      <c r="F279" s="10" t="n">
        <f aca="false">E279/'Correction factors'!$B$10</f>
        <v>6.452</v>
      </c>
      <c r="G279" s="11" t="n">
        <v>363</v>
      </c>
    </row>
    <row r="280" customFormat="false" ht="15" hidden="false" customHeight="false" outlineLevel="0" collapsed="false">
      <c r="A280" s="10" t="n">
        <v>58.91845536232</v>
      </c>
      <c r="B280" s="11" t="n">
        <v>180</v>
      </c>
      <c r="C280" s="12" t="n">
        <f aca="false">B280*'Correction factors'!$B$7</f>
        <v>871.02</v>
      </c>
      <c r="D280" s="13" t="n">
        <v>4.899173</v>
      </c>
      <c r="E280" s="14" t="n">
        <v>80</v>
      </c>
      <c r="F280" s="10" t="n">
        <f aca="false">E280/'Correction factors'!$B$10</f>
        <v>6.452</v>
      </c>
      <c r="G280" s="11" t="n">
        <v>363</v>
      </c>
    </row>
    <row r="281" customFormat="false" ht="15" hidden="false" customHeight="false" outlineLevel="0" collapsed="false">
      <c r="A281" s="10" t="n">
        <v>59.3545525074005</v>
      </c>
      <c r="B281" s="11" t="n">
        <v>180</v>
      </c>
      <c r="C281" s="12" t="n">
        <f aca="false">B281*'Correction factors'!$B$7</f>
        <v>871.02</v>
      </c>
      <c r="D281" s="13" t="n">
        <v>4.899173</v>
      </c>
      <c r="E281" s="14" t="n">
        <v>80</v>
      </c>
      <c r="F281" s="10" t="n">
        <f aca="false">E281/'Correction factors'!$B$10</f>
        <v>6.452</v>
      </c>
      <c r="G281" s="11" t="n">
        <v>365</v>
      </c>
    </row>
    <row r="282" customFormat="false" ht="15" hidden="false" customHeight="false" outlineLevel="0" collapsed="false">
      <c r="A282" s="10" t="n">
        <v>59.3545525074005</v>
      </c>
      <c r="B282" s="11" t="n">
        <v>200</v>
      </c>
      <c r="C282" s="12" t="n">
        <f aca="false">B282*'Correction factors'!$B$7</f>
        <v>967.8</v>
      </c>
      <c r="D282" s="13" t="n">
        <v>4.889352</v>
      </c>
      <c r="E282" s="14" t="n">
        <v>88</v>
      </c>
      <c r="F282" s="10" t="n">
        <f aca="false">E282/'Correction factors'!$B$10</f>
        <v>7.0972</v>
      </c>
      <c r="G282" s="11" t="n">
        <v>365</v>
      </c>
    </row>
    <row r="283" customFormat="false" ht="15" hidden="false" customHeight="false" outlineLevel="0" collapsed="false">
      <c r="A283" s="10" t="n">
        <v>59.3545525074005</v>
      </c>
      <c r="B283" s="11" t="n">
        <v>200</v>
      </c>
      <c r="C283" s="12" t="n">
        <f aca="false">B283*'Correction factors'!$B$7</f>
        <v>967.8</v>
      </c>
      <c r="D283" s="13" t="n">
        <v>4.889352</v>
      </c>
      <c r="E283" s="14" t="n">
        <v>80</v>
      </c>
      <c r="F283" s="10" t="n">
        <f aca="false">E283/'Correction factors'!$B$10</f>
        <v>6.452</v>
      </c>
      <c r="G283" s="11" t="n">
        <v>364</v>
      </c>
    </row>
    <row r="284" customFormat="false" ht="15" hidden="false" customHeight="false" outlineLevel="0" collapsed="false">
      <c r="A284" s="10" t="n">
        <v>59.8400657176971</v>
      </c>
      <c r="B284" s="11" t="n">
        <v>200</v>
      </c>
      <c r="C284" s="12" t="n">
        <f aca="false">B284*'Correction factors'!$B$7</f>
        <v>967.8</v>
      </c>
      <c r="D284" s="13" t="n">
        <v>4.869708</v>
      </c>
      <c r="E284" s="14" t="n">
        <v>88</v>
      </c>
      <c r="F284" s="10" t="n">
        <f aca="false">E284/'Correction factors'!$B$10</f>
        <v>7.0972</v>
      </c>
      <c r="G284" s="11" t="n">
        <v>364</v>
      </c>
    </row>
    <row r="285" customFormat="false" ht="15" hidden="false" customHeight="false" outlineLevel="0" collapsed="false">
      <c r="A285" s="10" t="n">
        <v>59.8400657176971</v>
      </c>
      <c r="B285" s="11" t="n">
        <v>200</v>
      </c>
      <c r="C285" s="12" t="n">
        <f aca="false">B285*'Correction factors'!$B$7</f>
        <v>967.8</v>
      </c>
      <c r="D285" s="13" t="n">
        <v>4.869708</v>
      </c>
      <c r="E285" s="14" t="n">
        <v>80</v>
      </c>
      <c r="F285" s="10" t="n">
        <f aca="false">E285/'Correction factors'!$B$10</f>
        <v>6.452</v>
      </c>
      <c r="G285" s="11" t="n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5"/>
    <col collapsed="false" customWidth="true" hidden="false" outlineLevel="0" max="6" min="5" style="0" width="20"/>
    <col collapsed="false" customWidth="true" hidden="false" outlineLevel="0" max="7" min="7" style="0" width="15"/>
  </cols>
  <sheetData>
    <row r="1" customFormat="false" ht="30" hidden="false" customHeight="tru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</row>
    <row r="2" customFormat="false" ht="15" hidden="false" customHeight="false" outlineLevel="0" collapsed="false">
      <c r="A2" s="10" t="n">
        <v>1.52275204658508</v>
      </c>
      <c r="B2" s="11" t="n">
        <v>0</v>
      </c>
      <c r="C2" s="12" t="n">
        <f aca="false">B2*'Correction factors'!$B$7</f>
        <v>0</v>
      </c>
      <c r="D2" s="13" t="n">
        <v>1.049108</v>
      </c>
      <c r="E2" s="14" t="n">
        <v>0</v>
      </c>
      <c r="F2" s="10" t="n">
        <f aca="false">E2/'Correction factors'!$B$10</f>
        <v>0</v>
      </c>
      <c r="G2" s="11" t="n">
        <v>510</v>
      </c>
    </row>
    <row r="3" customFormat="false" ht="15" hidden="false" customHeight="false" outlineLevel="0" collapsed="false">
      <c r="A3" s="10" t="n">
        <v>1.52275204658508</v>
      </c>
      <c r="B3" s="11" t="n">
        <v>0</v>
      </c>
      <c r="C3" s="12" t="n">
        <f aca="false">B3*'Correction factors'!$B$7</f>
        <v>0</v>
      </c>
      <c r="D3" s="13" t="n">
        <v>1.05893</v>
      </c>
      <c r="E3" s="14" t="n">
        <v>0</v>
      </c>
      <c r="F3" s="10" t="n">
        <f aca="false">E3/'Correction factors'!$B$10</f>
        <v>0</v>
      </c>
      <c r="G3" s="11" t="n">
        <v>481</v>
      </c>
    </row>
    <row r="4" customFormat="false" ht="15" hidden="false" customHeight="false" outlineLevel="0" collapsed="false">
      <c r="A4" s="10" t="n">
        <v>2.0481870174408</v>
      </c>
      <c r="B4" s="11" t="n">
        <v>0</v>
      </c>
      <c r="C4" s="12" t="n">
        <f aca="false">B4*'Correction factors'!$B$7</f>
        <v>0</v>
      </c>
      <c r="D4" s="13" t="n">
        <v>1.05893</v>
      </c>
      <c r="E4" s="14" t="n">
        <v>0</v>
      </c>
      <c r="F4" s="10" t="n">
        <f aca="false">E4/'Correction factors'!$B$10</f>
        <v>0</v>
      </c>
      <c r="G4" s="11" t="n">
        <v>243</v>
      </c>
    </row>
    <row r="5" customFormat="false" ht="15" hidden="false" customHeight="false" outlineLevel="0" collapsed="false">
      <c r="A5" s="10" t="n">
        <v>2.0481870174408</v>
      </c>
      <c r="B5" s="11" t="n">
        <v>0</v>
      </c>
      <c r="C5" s="12" t="n">
        <f aca="false">B5*'Correction factors'!$B$7</f>
        <v>0</v>
      </c>
      <c r="D5" s="13" t="n">
        <v>1.049108</v>
      </c>
      <c r="E5" s="14" t="n">
        <v>0</v>
      </c>
      <c r="F5" s="10" t="n">
        <f aca="false">E5/'Correction factors'!$B$10</f>
        <v>0</v>
      </c>
      <c r="G5" s="11" t="n">
        <v>245</v>
      </c>
    </row>
    <row r="6" customFormat="false" ht="15" hidden="false" customHeight="false" outlineLevel="0" collapsed="false">
      <c r="A6" s="10" t="n">
        <v>2.54072952270508</v>
      </c>
      <c r="B6" s="11" t="n">
        <v>0</v>
      </c>
      <c r="C6" s="12" t="n">
        <f aca="false">B6*'Correction factors'!$B$7</f>
        <v>0</v>
      </c>
      <c r="D6" s="13" t="n">
        <v>1.05893</v>
      </c>
      <c r="E6" s="14" t="n">
        <v>0</v>
      </c>
      <c r="F6" s="10" t="n">
        <f aca="false">E6/'Correction factors'!$B$10</f>
        <v>0</v>
      </c>
      <c r="G6" s="11" t="n">
        <v>255</v>
      </c>
    </row>
    <row r="7" customFormat="false" ht="15" hidden="false" customHeight="false" outlineLevel="0" collapsed="false">
      <c r="A7" s="10" t="n">
        <v>2.54072952270508</v>
      </c>
      <c r="B7" s="11" t="n">
        <v>0</v>
      </c>
      <c r="C7" s="12" t="n">
        <f aca="false">B7*'Correction factors'!$B$7</f>
        <v>0</v>
      </c>
      <c r="D7" s="13" t="n">
        <v>1.049108</v>
      </c>
      <c r="E7" s="14" t="n">
        <v>0</v>
      </c>
      <c r="F7" s="10" t="n">
        <f aca="false">E7/'Correction factors'!$B$10</f>
        <v>0</v>
      </c>
      <c r="G7" s="11" t="n">
        <v>256</v>
      </c>
    </row>
    <row r="8" customFormat="false" ht="15" hidden="false" customHeight="false" outlineLevel="0" collapsed="false">
      <c r="A8" s="10" t="n">
        <v>2.54072952270508</v>
      </c>
      <c r="B8" s="11" t="n">
        <v>0</v>
      </c>
      <c r="C8" s="12" t="n">
        <f aca="false">B8*'Correction factors'!$B$7</f>
        <v>0</v>
      </c>
      <c r="D8" s="13" t="n">
        <v>1.049108</v>
      </c>
      <c r="E8" s="14" t="n">
        <v>0</v>
      </c>
      <c r="F8" s="10" t="n">
        <f aca="false">E8/'Correction factors'!$B$10</f>
        <v>0</v>
      </c>
      <c r="G8" s="11" t="n">
        <v>263</v>
      </c>
    </row>
    <row r="9" customFormat="false" ht="15" hidden="false" customHeight="false" outlineLevel="0" collapsed="false">
      <c r="A9" s="10" t="n">
        <v>3.03239417076111</v>
      </c>
      <c r="B9" s="11" t="n">
        <v>0</v>
      </c>
      <c r="C9" s="12" t="n">
        <f aca="false">B9*'Correction factors'!$B$7</f>
        <v>0</v>
      </c>
      <c r="D9" s="13" t="n">
        <v>1.05893</v>
      </c>
      <c r="E9" s="14" t="n">
        <v>0</v>
      </c>
      <c r="F9" s="10" t="n">
        <f aca="false">E9/'Correction factors'!$B$10</f>
        <v>0</v>
      </c>
      <c r="G9" s="11" t="n">
        <v>273</v>
      </c>
    </row>
    <row r="10" customFormat="false" ht="15" hidden="false" customHeight="false" outlineLevel="0" collapsed="false">
      <c r="A10" s="10" t="n">
        <v>3.03239417076111</v>
      </c>
      <c r="B10" s="11" t="n">
        <v>0</v>
      </c>
      <c r="C10" s="12" t="n">
        <f aca="false">B10*'Correction factors'!$B$7</f>
        <v>0</v>
      </c>
      <c r="D10" s="13" t="n">
        <v>1.05893</v>
      </c>
      <c r="E10" s="14" t="n">
        <v>0</v>
      </c>
      <c r="F10" s="10" t="n">
        <f aca="false">E10/'Correction factors'!$B$10</f>
        <v>0</v>
      </c>
      <c r="G10" s="11" t="n">
        <v>275</v>
      </c>
    </row>
    <row r="11" customFormat="false" ht="15" hidden="false" customHeight="false" outlineLevel="0" collapsed="false">
      <c r="A11" s="10" t="n">
        <v>3.50064182281494</v>
      </c>
      <c r="B11" s="11" t="n">
        <v>0</v>
      </c>
      <c r="C11" s="12" t="n">
        <f aca="false">B11*'Correction factors'!$B$7</f>
        <v>0</v>
      </c>
      <c r="D11" s="13" t="n">
        <v>1.05893</v>
      </c>
      <c r="E11" s="14" t="n">
        <v>0</v>
      </c>
      <c r="F11" s="10" t="n">
        <f aca="false">E11/'Correction factors'!$B$10</f>
        <v>0</v>
      </c>
      <c r="G11" s="11" t="n">
        <v>288</v>
      </c>
    </row>
    <row r="12" customFormat="false" ht="15" hidden="false" customHeight="false" outlineLevel="0" collapsed="false">
      <c r="A12" s="10" t="n">
        <v>3.50064182281494</v>
      </c>
      <c r="B12" s="11" t="n">
        <v>0</v>
      </c>
      <c r="C12" s="12" t="n">
        <f aca="false">B12*'Correction factors'!$B$7</f>
        <v>0</v>
      </c>
      <c r="D12" s="13" t="n">
        <v>1.05893</v>
      </c>
      <c r="E12" s="14" t="n">
        <v>0</v>
      </c>
      <c r="F12" s="10" t="n">
        <f aca="false">E12/'Correction factors'!$B$10</f>
        <v>0</v>
      </c>
      <c r="G12" s="11" t="n">
        <v>286</v>
      </c>
    </row>
    <row r="13" customFormat="false" ht="15" hidden="false" customHeight="false" outlineLevel="0" collapsed="false">
      <c r="A13" s="10" t="n">
        <v>3.9807448387146</v>
      </c>
      <c r="B13" s="11" t="n">
        <v>0</v>
      </c>
      <c r="C13" s="12" t="n">
        <f aca="false">B13*'Correction factors'!$B$7</f>
        <v>0</v>
      </c>
      <c r="D13" s="13" t="n">
        <v>1.05893</v>
      </c>
      <c r="E13" s="14" t="n">
        <v>0</v>
      </c>
      <c r="F13" s="10" t="n">
        <f aca="false">E13/'Correction factors'!$B$10</f>
        <v>0</v>
      </c>
      <c r="G13" s="11" t="n">
        <v>298</v>
      </c>
    </row>
    <row r="14" customFormat="false" ht="15" hidden="false" customHeight="false" outlineLevel="0" collapsed="false">
      <c r="A14" s="10" t="n">
        <v>3.9807448387146</v>
      </c>
      <c r="B14" s="11" t="n">
        <v>0</v>
      </c>
      <c r="C14" s="12" t="n">
        <f aca="false">B14*'Correction factors'!$B$7</f>
        <v>0</v>
      </c>
      <c r="D14" s="13" t="n">
        <v>1.049108</v>
      </c>
      <c r="E14" s="14" t="n">
        <v>0</v>
      </c>
      <c r="F14" s="10" t="n">
        <f aca="false">E14/'Correction factors'!$B$10</f>
        <v>0</v>
      </c>
      <c r="G14" s="11" t="n">
        <v>299</v>
      </c>
    </row>
    <row r="15" customFormat="false" ht="15" hidden="false" customHeight="false" outlineLevel="0" collapsed="false">
      <c r="A15" s="10" t="n">
        <v>3.9807448387146</v>
      </c>
      <c r="B15" s="11" t="n">
        <v>0</v>
      </c>
      <c r="C15" s="12" t="n">
        <f aca="false">B15*'Correction factors'!$B$7</f>
        <v>0</v>
      </c>
      <c r="D15" s="13" t="n">
        <v>1.049108</v>
      </c>
      <c r="E15" s="14" t="n">
        <v>0</v>
      </c>
      <c r="F15" s="10" t="n">
        <f aca="false">E15/'Correction factors'!$B$10</f>
        <v>0</v>
      </c>
      <c r="G15" s="11" t="n">
        <v>305</v>
      </c>
    </row>
    <row r="16" customFormat="false" ht="15" hidden="false" customHeight="false" outlineLevel="0" collapsed="false">
      <c r="A16" s="10" t="n">
        <v>4.478919506073</v>
      </c>
      <c r="B16" s="11" t="n">
        <v>0</v>
      </c>
      <c r="C16" s="12" t="n">
        <f aca="false">B16*'Correction factors'!$B$7</f>
        <v>0</v>
      </c>
      <c r="D16" s="13" t="n">
        <v>1.05893</v>
      </c>
      <c r="E16" s="14" t="n">
        <v>0</v>
      </c>
      <c r="F16" s="10" t="n">
        <f aca="false">E16/'Correction factors'!$B$10</f>
        <v>0</v>
      </c>
      <c r="G16" s="11" t="n">
        <v>317</v>
      </c>
    </row>
    <row r="17" customFormat="false" ht="15" hidden="false" customHeight="false" outlineLevel="0" collapsed="false">
      <c r="A17" s="10" t="n">
        <v>4.478919506073</v>
      </c>
      <c r="B17" s="11" t="n">
        <v>0</v>
      </c>
      <c r="C17" s="12" t="n">
        <f aca="false">B17*'Correction factors'!$B$7</f>
        <v>0</v>
      </c>
      <c r="D17" s="13" t="n">
        <v>1.05893</v>
      </c>
      <c r="E17" s="14" t="n">
        <v>0</v>
      </c>
      <c r="F17" s="10" t="n">
        <f aca="false">E17/'Correction factors'!$B$10</f>
        <v>0</v>
      </c>
      <c r="G17" s="11" t="n">
        <v>317</v>
      </c>
    </row>
    <row r="18" customFormat="false" ht="15" hidden="false" customHeight="false" outlineLevel="0" collapsed="false">
      <c r="A18" s="10" t="n">
        <v>4.93692207336426</v>
      </c>
      <c r="B18" s="11" t="n">
        <v>0</v>
      </c>
      <c r="C18" s="12" t="n">
        <f aca="false">B18*'Correction factors'!$B$7</f>
        <v>0</v>
      </c>
      <c r="D18" s="13" t="n">
        <v>1.049108</v>
      </c>
      <c r="E18" s="14" t="n">
        <v>0</v>
      </c>
      <c r="F18" s="10" t="n">
        <f aca="false">E18/'Correction factors'!$B$10</f>
        <v>0</v>
      </c>
      <c r="G18" s="11" t="n">
        <v>328</v>
      </c>
    </row>
    <row r="19" customFormat="false" ht="15" hidden="false" customHeight="false" outlineLevel="0" collapsed="false">
      <c r="A19" s="10" t="n">
        <v>4.93692207336426</v>
      </c>
      <c r="B19" s="11" t="n">
        <v>0</v>
      </c>
      <c r="C19" s="12" t="n">
        <f aca="false">B19*'Correction factors'!$B$7</f>
        <v>0</v>
      </c>
      <c r="D19" s="13" t="n">
        <v>1.05893</v>
      </c>
      <c r="E19" s="14" t="n">
        <v>0</v>
      </c>
      <c r="F19" s="10" t="n">
        <f aca="false">E19/'Correction factors'!$B$10</f>
        <v>0</v>
      </c>
      <c r="G19" s="11" t="n">
        <v>332</v>
      </c>
    </row>
    <row r="20" customFormat="false" ht="15" hidden="false" customHeight="false" outlineLevel="0" collapsed="false">
      <c r="A20" s="10" t="n">
        <v>5.35974764823914</v>
      </c>
      <c r="B20" s="11" t="n">
        <v>0</v>
      </c>
      <c r="C20" s="12" t="n">
        <f aca="false">B20*'Correction factors'!$B$7</f>
        <v>0</v>
      </c>
      <c r="D20" s="13" t="n">
        <v>1.05893</v>
      </c>
      <c r="E20" s="14" t="n">
        <v>0</v>
      </c>
      <c r="F20" s="10" t="n">
        <f aca="false">E20/'Correction factors'!$B$10</f>
        <v>0</v>
      </c>
      <c r="G20" s="11" t="n">
        <v>341</v>
      </c>
    </row>
    <row r="21" customFormat="false" ht="15" hidden="false" customHeight="false" outlineLevel="0" collapsed="false">
      <c r="A21" s="10" t="n">
        <v>5.35974764823914</v>
      </c>
      <c r="B21" s="11" t="n">
        <v>0</v>
      </c>
      <c r="C21" s="12" t="n">
        <f aca="false">B21*'Correction factors'!$B$7</f>
        <v>0</v>
      </c>
      <c r="D21" s="13" t="n">
        <v>1.05893</v>
      </c>
      <c r="E21" s="14" t="n">
        <v>0</v>
      </c>
      <c r="F21" s="10" t="n">
        <f aca="false">E21/'Correction factors'!$B$10</f>
        <v>0</v>
      </c>
      <c r="G21" s="11" t="n">
        <v>344</v>
      </c>
    </row>
    <row r="22" customFormat="false" ht="15" hidden="false" customHeight="false" outlineLevel="0" collapsed="false">
      <c r="A22" s="10" t="n">
        <v>5.78720569610596</v>
      </c>
      <c r="B22" s="11" t="n">
        <v>0</v>
      </c>
      <c r="C22" s="12" t="n">
        <f aca="false">B22*'Correction factors'!$B$7</f>
        <v>0</v>
      </c>
      <c r="D22" s="13" t="n">
        <v>1.049108</v>
      </c>
      <c r="E22" s="14" t="n">
        <v>0</v>
      </c>
      <c r="F22" s="10" t="n">
        <f aca="false">E22/'Correction factors'!$B$10</f>
        <v>0</v>
      </c>
      <c r="G22" s="11" t="n">
        <v>354</v>
      </c>
    </row>
    <row r="23" customFormat="false" ht="15" hidden="false" customHeight="false" outlineLevel="0" collapsed="false">
      <c r="A23" s="10" t="n">
        <v>5.78720569610596</v>
      </c>
      <c r="B23" s="11" t="n">
        <v>0</v>
      </c>
      <c r="C23" s="12" t="n">
        <f aca="false">B23*'Correction factors'!$B$7</f>
        <v>0</v>
      </c>
      <c r="D23" s="13" t="n">
        <v>1.05893</v>
      </c>
      <c r="E23" s="14" t="n">
        <v>0</v>
      </c>
      <c r="F23" s="10" t="n">
        <f aca="false">E23/'Correction factors'!$B$10</f>
        <v>0</v>
      </c>
      <c r="G23" s="11" t="n">
        <v>356</v>
      </c>
    </row>
    <row r="24" customFormat="false" ht="15" hidden="false" customHeight="false" outlineLevel="0" collapsed="false">
      <c r="A24" s="10" t="n">
        <v>5.78720569610596</v>
      </c>
      <c r="B24" s="11" t="n">
        <v>0</v>
      </c>
      <c r="C24" s="12" t="n">
        <f aca="false">B24*'Correction factors'!$B$7</f>
        <v>0</v>
      </c>
      <c r="D24" s="13" t="n">
        <v>1.049108</v>
      </c>
      <c r="E24" s="14" t="n">
        <v>0</v>
      </c>
      <c r="F24" s="10" t="n">
        <f aca="false">E24/'Correction factors'!$B$10</f>
        <v>0</v>
      </c>
      <c r="G24" s="11" t="n">
        <v>365</v>
      </c>
    </row>
    <row r="25" customFormat="false" ht="15" hidden="false" customHeight="false" outlineLevel="0" collapsed="false">
      <c r="A25" s="10" t="n">
        <v>6.26877450942993</v>
      </c>
      <c r="B25" s="11" t="n">
        <v>0</v>
      </c>
      <c r="C25" s="12" t="n">
        <f aca="false">B25*'Correction factors'!$B$7</f>
        <v>0</v>
      </c>
      <c r="D25" s="13" t="n">
        <v>1.049108</v>
      </c>
      <c r="E25" s="14" t="n">
        <v>0</v>
      </c>
      <c r="F25" s="10" t="n">
        <f aca="false">E25/'Correction factors'!$B$10</f>
        <v>0</v>
      </c>
      <c r="G25" s="11" t="n">
        <v>372</v>
      </c>
    </row>
    <row r="26" customFormat="false" ht="15" hidden="false" customHeight="false" outlineLevel="0" collapsed="false">
      <c r="A26" s="10" t="n">
        <v>6.26877450942993</v>
      </c>
      <c r="B26" s="11" t="n">
        <v>0</v>
      </c>
      <c r="C26" s="12" t="n">
        <f aca="false">B26*'Correction factors'!$B$7</f>
        <v>0</v>
      </c>
      <c r="D26" s="13" t="n">
        <v>1.049108</v>
      </c>
      <c r="E26" s="14" t="n">
        <v>0</v>
      </c>
      <c r="F26" s="10" t="n">
        <f aca="false">E26/'Correction factors'!$B$10</f>
        <v>0</v>
      </c>
      <c r="G26" s="11" t="n">
        <v>374</v>
      </c>
    </row>
    <row r="27" customFormat="false" ht="15" hidden="false" customHeight="false" outlineLevel="0" collapsed="false">
      <c r="A27" s="10" t="n">
        <v>6.71405005455017</v>
      </c>
      <c r="B27" s="11" t="n">
        <v>0</v>
      </c>
      <c r="C27" s="12" t="n">
        <f aca="false">B27*'Correction factors'!$B$7</f>
        <v>0</v>
      </c>
      <c r="D27" s="13" t="n">
        <v>1.049108</v>
      </c>
      <c r="E27" s="14" t="n">
        <v>0</v>
      </c>
      <c r="F27" s="10" t="n">
        <f aca="false">E27/'Correction factors'!$B$10</f>
        <v>0</v>
      </c>
      <c r="G27" s="11" t="n">
        <v>386</v>
      </c>
    </row>
    <row r="28" customFormat="false" ht="15" hidden="false" customHeight="false" outlineLevel="0" collapsed="false">
      <c r="A28" s="10" t="n">
        <v>6.71405005455017</v>
      </c>
      <c r="B28" s="11" t="n">
        <v>0</v>
      </c>
      <c r="C28" s="12" t="n">
        <f aca="false">B28*'Correction factors'!$B$7</f>
        <v>0</v>
      </c>
      <c r="D28" s="13" t="n">
        <v>1.049108</v>
      </c>
      <c r="E28" s="14" t="n">
        <v>0</v>
      </c>
      <c r="F28" s="10" t="n">
        <f aca="false">E28/'Correction factors'!$B$10</f>
        <v>0</v>
      </c>
      <c r="G28" s="11" t="n">
        <v>387</v>
      </c>
    </row>
    <row r="29" customFormat="false" ht="15" hidden="false" customHeight="false" outlineLevel="0" collapsed="false">
      <c r="A29" s="10" t="n">
        <v>7.19539761543274</v>
      </c>
      <c r="B29" s="11" t="n">
        <v>0</v>
      </c>
      <c r="C29" s="12" t="n">
        <f aca="false">B29*'Correction factors'!$B$7</f>
        <v>0</v>
      </c>
      <c r="D29" s="13" t="n">
        <v>1.05893</v>
      </c>
      <c r="E29" s="14" t="n">
        <v>0</v>
      </c>
      <c r="F29" s="10" t="n">
        <f aca="false">E29/'Correction factors'!$B$10</f>
        <v>0</v>
      </c>
      <c r="G29" s="11" t="n">
        <v>397</v>
      </c>
    </row>
    <row r="30" customFormat="false" ht="15" hidden="false" customHeight="false" outlineLevel="0" collapsed="false">
      <c r="A30" s="10" t="n">
        <v>7.19539761543274</v>
      </c>
      <c r="B30" s="11" t="n">
        <v>0</v>
      </c>
      <c r="C30" s="12" t="n">
        <f aca="false">B30*'Correction factors'!$B$7</f>
        <v>0</v>
      </c>
      <c r="D30" s="13" t="n">
        <v>1.05893</v>
      </c>
      <c r="E30" s="14" t="n">
        <v>0</v>
      </c>
      <c r="F30" s="10" t="n">
        <f aca="false">E30/'Correction factors'!$B$10</f>
        <v>0</v>
      </c>
      <c r="G30" s="11" t="n">
        <v>401</v>
      </c>
    </row>
    <row r="31" customFormat="false" ht="15" hidden="false" customHeight="false" outlineLevel="0" collapsed="false">
      <c r="A31" s="10" t="n">
        <v>7.65350770950317</v>
      </c>
      <c r="B31" s="11" t="n">
        <v>0</v>
      </c>
      <c r="C31" s="12" t="n">
        <f aca="false">B31*'Correction factors'!$B$7</f>
        <v>0</v>
      </c>
      <c r="D31" s="13" t="n">
        <v>1.05893</v>
      </c>
      <c r="E31" s="14" t="n">
        <v>0</v>
      </c>
      <c r="F31" s="10" t="n">
        <f aca="false">E31/'Correction factors'!$B$10</f>
        <v>0</v>
      </c>
      <c r="G31" s="11" t="n">
        <v>410</v>
      </c>
    </row>
    <row r="32" customFormat="false" ht="15" hidden="false" customHeight="false" outlineLevel="0" collapsed="false">
      <c r="A32" s="10" t="n">
        <v>7.65350770950317</v>
      </c>
      <c r="B32" s="11" t="n">
        <v>0</v>
      </c>
      <c r="C32" s="12" t="n">
        <f aca="false">B32*'Correction factors'!$B$7</f>
        <v>0</v>
      </c>
      <c r="D32" s="13" t="n">
        <v>1.05893</v>
      </c>
      <c r="E32" s="14" t="n">
        <v>0</v>
      </c>
      <c r="F32" s="10" t="n">
        <f aca="false">E32/'Correction factors'!$B$10</f>
        <v>0</v>
      </c>
      <c r="G32" s="11" t="n">
        <v>412</v>
      </c>
    </row>
    <row r="33" customFormat="false" ht="15" hidden="false" customHeight="false" outlineLevel="0" collapsed="false">
      <c r="A33" s="10" t="n">
        <v>7.65350770950317</v>
      </c>
      <c r="B33" s="11" t="n">
        <v>0</v>
      </c>
      <c r="C33" s="12" t="n">
        <f aca="false">B33*'Correction factors'!$B$7</f>
        <v>0</v>
      </c>
      <c r="D33" s="13" t="n">
        <v>1.049108</v>
      </c>
      <c r="E33" s="14" t="n">
        <v>0</v>
      </c>
      <c r="F33" s="10" t="n">
        <f aca="false">E33/'Correction factors'!$B$10</f>
        <v>0</v>
      </c>
      <c r="G33" s="11" t="n">
        <v>421</v>
      </c>
    </row>
    <row r="34" customFormat="false" ht="15" hidden="false" customHeight="false" outlineLevel="0" collapsed="false">
      <c r="A34" s="10" t="n">
        <v>8.14575576782227</v>
      </c>
      <c r="B34" s="11" t="n">
        <v>0</v>
      </c>
      <c r="C34" s="12" t="n">
        <f aca="false">B34*'Correction factors'!$B$7</f>
        <v>0</v>
      </c>
      <c r="D34" s="13" t="n">
        <v>1.05893</v>
      </c>
      <c r="E34" s="14" t="n">
        <v>0</v>
      </c>
      <c r="F34" s="10" t="n">
        <f aca="false">E34/'Correction factors'!$B$10</f>
        <v>0</v>
      </c>
      <c r="G34" s="11" t="n">
        <v>429</v>
      </c>
    </row>
    <row r="35" customFormat="false" ht="15" hidden="false" customHeight="false" outlineLevel="0" collapsed="false">
      <c r="A35" s="10" t="n">
        <v>8.14575576782227</v>
      </c>
      <c r="B35" s="11" t="n">
        <v>0</v>
      </c>
      <c r="C35" s="12" t="n">
        <f aca="false">B35*'Correction factors'!$B$7</f>
        <v>0</v>
      </c>
      <c r="D35" s="13" t="n">
        <v>1.05893</v>
      </c>
      <c r="E35" s="14" t="n">
        <v>0</v>
      </c>
      <c r="F35" s="10" t="n">
        <f aca="false">E35/'Correction factors'!$B$10</f>
        <v>0</v>
      </c>
      <c r="G35" s="11" t="n">
        <v>431</v>
      </c>
    </row>
    <row r="36" customFormat="false" ht="15" hidden="false" customHeight="false" outlineLevel="0" collapsed="false">
      <c r="A36" s="10" t="n">
        <v>8.58621668815613</v>
      </c>
      <c r="B36" s="11" t="n">
        <v>0</v>
      </c>
      <c r="C36" s="12" t="n">
        <f aca="false">B36*'Correction factors'!$B$7</f>
        <v>0</v>
      </c>
      <c r="D36" s="13" t="n">
        <v>1.049108</v>
      </c>
      <c r="E36" s="14" t="n">
        <v>0</v>
      </c>
      <c r="F36" s="10" t="n">
        <f aca="false">E36/'Correction factors'!$B$10</f>
        <v>0</v>
      </c>
      <c r="G36" s="11" t="n">
        <v>442</v>
      </c>
    </row>
    <row r="37" customFormat="false" ht="15" hidden="false" customHeight="false" outlineLevel="0" collapsed="false">
      <c r="A37" s="10" t="n">
        <v>8.58621668815613</v>
      </c>
      <c r="B37" s="11" t="n">
        <v>0</v>
      </c>
      <c r="C37" s="12" t="n">
        <f aca="false">B37*'Correction factors'!$B$7</f>
        <v>0</v>
      </c>
      <c r="D37" s="13" t="n">
        <v>1.05893</v>
      </c>
      <c r="E37" s="14" t="n">
        <v>0</v>
      </c>
      <c r="F37" s="10" t="n">
        <f aca="false">E37/'Correction factors'!$B$10</f>
        <v>0</v>
      </c>
      <c r="G37" s="11" t="n">
        <v>445</v>
      </c>
    </row>
    <row r="38" customFormat="false" ht="15" hidden="false" customHeight="false" outlineLevel="0" collapsed="false">
      <c r="A38" s="10" t="n">
        <v>9.0304856300354</v>
      </c>
      <c r="B38" s="11" t="n">
        <v>0</v>
      </c>
      <c r="C38" s="12" t="n">
        <f aca="false">B38*'Correction factors'!$B$7</f>
        <v>0</v>
      </c>
      <c r="D38" s="13" t="n">
        <v>1.049108</v>
      </c>
      <c r="E38" s="14" t="n">
        <v>0</v>
      </c>
      <c r="F38" s="10" t="n">
        <f aca="false">E38/'Correction factors'!$B$10</f>
        <v>0</v>
      </c>
      <c r="G38" s="11" t="n">
        <v>452</v>
      </c>
    </row>
    <row r="39" customFormat="false" ht="15" hidden="false" customHeight="false" outlineLevel="0" collapsed="false">
      <c r="A39" s="10" t="n">
        <v>9.0304856300354</v>
      </c>
      <c r="B39" s="11" t="n">
        <v>0</v>
      </c>
      <c r="C39" s="12" t="n">
        <f aca="false">B39*'Correction factors'!$B$7</f>
        <v>0</v>
      </c>
      <c r="D39" s="13" t="n">
        <v>1.049108</v>
      </c>
      <c r="E39" s="14" t="n">
        <v>0</v>
      </c>
      <c r="F39" s="10" t="n">
        <f aca="false">E39/'Correction factors'!$B$10</f>
        <v>0</v>
      </c>
      <c r="G39" s="11" t="n">
        <v>455</v>
      </c>
    </row>
    <row r="40" customFormat="false" ht="15" hidden="false" customHeight="false" outlineLevel="0" collapsed="false">
      <c r="A40" s="10" t="n">
        <v>9.43993043899536</v>
      </c>
      <c r="B40" s="11" t="n">
        <v>0</v>
      </c>
      <c r="C40" s="12" t="n">
        <f aca="false">B40*'Correction factors'!$B$7</f>
        <v>0</v>
      </c>
      <c r="D40" s="13" t="n">
        <v>1.05893</v>
      </c>
      <c r="E40" s="14" t="n">
        <v>0</v>
      </c>
      <c r="F40" s="10" t="n">
        <f aca="false">E40/'Correction factors'!$B$10</f>
        <v>0</v>
      </c>
      <c r="G40" s="11" t="n">
        <v>465</v>
      </c>
    </row>
    <row r="41" customFormat="false" ht="15" hidden="false" customHeight="false" outlineLevel="0" collapsed="false">
      <c r="A41" s="10" t="n">
        <v>9.43993043899536</v>
      </c>
      <c r="B41" s="11" t="n">
        <v>0</v>
      </c>
      <c r="C41" s="12" t="n">
        <f aca="false">B41*'Correction factors'!$B$7</f>
        <v>0</v>
      </c>
      <c r="D41" s="13" t="n">
        <v>1.049108</v>
      </c>
      <c r="E41" s="14" t="n">
        <v>0</v>
      </c>
      <c r="F41" s="10" t="n">
        <f aca="false">E41/'Correction factors'!$B$10</f>
        <v>0</v>
      </c>
      <c r="G41" s="11" t="n">
        <v>469</v>
      </c>
    </row>
    <row r="42" customFormat="false" ht="15" hidden="false" customHeight="false" outlineLevel="0" collapsed="false">
      <c r="A42" s="10" t="n">
        <v>9.85519599914551</v>
      </c>
      <c r="B42" s="11" t="n">
        <v>0</v>
      </c>
      <c r="C42" s="12" t="n">
        <f aca="false">B42*'Correction factors'!$B$7</f>
        <v>0</v>
      </c>
      <c r="D42" s="13" t="n">
        <v>1.658047</v>
      </c>
      <c r="E42" s="14" t="n">
        <v>32</v>
      </c>
      <c r="F42" s="10" t="n">
        <f aca="false">E42/'Correction factors'!$B$10</f>
        <v>2.5808</v>
      </c>
      <c r="G42" s="11" t="n">
        <v>478</v>
      </c>
    </row>
    <row r="43" customFormat="false" ht="15" hidden="false" customHeight="false" outlineLevel="0" collapsed="false">
      <c r="A43" s="10" t="n">
        <v>9.85519599914551</v>
      </c>
      <c r="B43" s="11" t="n">
        <v>0</v>
      </c>
      <c r="C43" s="12" t="n">
        <f aca="false">B43*'Correction factors'!$B$7</f>
        <v>0</v>
      </c>
      <c r="D43" s="13" t="n">
        <v>1.805371</v>
      </c>
      <c r="E43" s="14" t="n">
        <v>248</v>
      </c>
      <c r="F43" s="10" t="n">
        <f aca="false">E43/'Correction factors'!$B$10</f>
        <v>20.0012</v>
      </c>
      <c r="G43" s="11" t="n">
        <v>481</v>
      </c>
    </row>
    <row r="44" customFormat="false" ht="15" hidden="false" customHeight="false" outlineLevel="0" collapsed="false">
      <c r="A44" s="10" t="n">
        <v>10.2697188854218</v>
      </c>
      <c r="B44" s="11" t="n">
        <v>0</v>
      </c>
      <c r="C44" s="12" t="n">
        <f aca="false">B44*'Correction factors'!$B$7</f>
        <v>0</v>
      </c>
      <c r="D44" s="13" t="n">
        <v>1.92323</v>
      </c>
      <c r="E44" s="14" t="n">
        <v>336</v>
      </c>
      <c r="F44" s="10" t="n">
        <f aca="false">E44/'Correction factors'!$B$10</f>
        <v>27.0984</v>
      </c>
      <c r="G44" s="11" t="n">
        <v>490</v>
      </c>
    </row>
    <row r="45" customFormat="false" ht="15" hidden="false" customHeight="false" outlineLevel="0" collapsed="false">
      <c r="A45" s="10" t="n">
        <v>10.2697188854218</v>
      </c>
      <c r="B45" s="11" t="n">
        <v>200</v>
      </c>
      <c r="C45" s="12" t="n">
        <f aca="false">B45*'Correction factors'!$B$7</f>
        <v>967.8</v>
      </c>
      <c r="D45" s="13" t="n">
        <v>2.05091</v>
      </c>
      <c r="E45" s="14" t="n">
        <v>392</v>
      </c>
      <c r="F45" s="10" t="n">
        <f aca="false">E45/'Correction factors'!$B$10</f>
        <v>31.6148</v>
      </c>
      <c r="G45" s="11" t="n">
        <v>491</v>
      </c>
    </row>
    <row r="46" customFormat="false" ht="15" hidden="false" customHeight="false" outlineLevel="0" collapsed="false">
      <c r="A46" s="10" t="n">
        <v>10.7070100307465</v>
      </c>
      <c r="B46" s="11" t="n">
        <v>420</v>
      </c>
      <c r="C46" s="12" t="n">
        <f aca="false">B46*'Correction factors'!$B$7</f>
        <v>2032.38</v>
      </c>
      <c r="D46" s="13" t="n">
        <v>2.188413</v>
      </c>
      <c r="E46" s="14" t="n">
        <v>432</v>
      </c>
      <c r="F46" s="10" t="n">
        <f aca="false">E46/'Correction factors'!$B$10</f>
        <v>34.8408</v>
      </c>
      <c r="G46" s="11" t="n">
        <v>465</v>
      </c>
    </row>
    <row r="47" customFormat="false" ht="15" hidden="false" customHeight="false" outlineLevel="0" collapsed="false">
      <c r="A47" s="10" t="n">
        <v>10.7070100307465</v>
      </c>
      <c r="B47" s="11" t="n">
        <v>440</v>
      </c>
      <c r="C47" s="12" t="n">
        <f aca="false">B47*'Correction factors'!$B$7</f>
        <v>2129.16</v>
      </c>
      <c r="D47" s="13" t="n">
        <v>2.296451</v>
      </c>
      <c r="E47" s="14" t="n">
        <v>440</v>
      </c>
      <c r="F47" s="10" t="n">
        <f aca="false">E47/'Correction factors'!$B$10</f>
        <v>35.486</v>
      </c>
      <c r="G47" s="11" t="n">
        <v>451</v>
      </c>
    </row>
    <row r="48" customFormat="false" ht="15" hidden="false" customHeight="false" outlineLevel="0" collapsed="false">
      <c r="A48" s="10" t="n">
        <v>11.142172574997</v>
      </c>
      <c r="B48" s="11" t="n">
        <v>460</v>
      </c>
      <c r="C48" s="12" t="n">
        <f aca="false">B48*'Correction factors'!$B$7</f>
        <v>2225.94</v>
      </c>
      <c r="D48" s="13" t="n">
        <v>2.433953</v>
      </c>
      <c r="E48" s="14" t="n">
        <v>464</v>
      </c>
      <c r="F48" s="10" t="n">
        <f aca="false">E48/'Correction factors'!$B$10</f>
        <v>37.4216</v>
      </c>
      <c r="G48" s="11" t="n">
        <v>416</v>
      </c>
    </row>
    <row r="49" customFormat="false" ht="15" hidden="false" customHeight="false" outlineLevel="0" collapsed="false">
      <c r="A49" s="10" t="n">
        <v>11.142172574997</v>
      </c>
      <c r="B49" s="11" t="n">
        <v>360</v>
      </c>
      <c r="C49" s="12" t="n">
        <f aca="false">B49*'Correction factors'!$B$7</f>
        <v>1742.04</v>
      </c>
      <c r="D49" s="13" t="n">
        <v>2.650028</v>
      </c>
      <c r="E49" s="14" t="n">
        <v>376</v>
      </c>
      <c r="F49" s="10" t="n">
        <f aca="false">E49/'Correction factors'!$B$10</f>
        <v>30.3244</v>
      </c>
      <c r="G49" s="11" t="n">
        <v>412</v>
      </c>
    </row>
    <row r="50" customFormat="false" ht="15" hidden="false" customHeight="false" outlineLevel="0" collapsed="false">
      <c r="A50" s="10" t="n">
        <v>11.6018297672272</v>
      </c>
      <c r="B50" s="11" t="n">
        <v>360</v>
      </c>
      <c r="C50" s="12" t="n">
        <f aca="false">B50*'Correction factors'!$B$7</f>
        <v>1742.04</v>
      </c>
      <c r="D50" s="13" t="n">
        <v>2.797352</v>
      </c>
      <c r="E50" s="14" t="n">
        <v>352</v>
      </c>
      <c r="F50" s="10" t="n">
        <f aca="false">E50/'Correction factors'!$B$10</f>
        <v>28.3888</v>
      </c>
      <c r="G50" s="11" t="n">
        <v>415</v>
      </c>
    </row>
    <row r="51" customFormat="false" ht="15" hidden="false" customHeight="false" outlineLevel="0" collapsed="false">
      <c r="A51" s="10" t="n">
        <v>11.6018297672272</v>
      </c>
      <c r="B51" s="11" t="n">
        <v>380</v>
      </c>
      <c r="C51" s="12" t="n">
        <f aca="false">B51*'Correction factors'!$B$7</f>
        <v>1838.82</v>
      </c>
      <c r="D51" s="13" t="n">
        <v>2.905389</v>
      </c>
      <c r="E51" s="14" t="n">
        <v>360</v>
      </c>
      <c r="F51" s="10" t="n">
        <f aca="false">E51/'Correction factors'!$B$10</f>
        <v>29.034</v>
      </c>
      <c r="G51" s="11" t="n">
        <v>412</v>
      </c>
    </row>
    <row r="52" customFormat="false" ht="15" hidden="false" customHeight="false" outlineLevel="0" collapsed="false">
      <c r="A52" s="10" t="n">
        <v>11.6018297672272</v>
      </c>
      <c r="B52" s="11" t="n">
        <v>400</v>
      </c>
      <c r="C52" s="12" t="n">
        <f aca="false">B52*'Correction factors'!$B$7</f>
        <v>1935.6</v>
      </c>
      <c r="D52" s="13" t="n">
        <v>3.013427</v>
      </c>
      <c r="E52" s="14" t="n">
        <v>368</v>
      </c>
      <c r="F52" s="10" t="n">
        <f aca="false">E52/'Correction factors'!$B$10</f>
        <v>29.6792</v>
      </c>
      <c r="G52" s="11" t="n">
        <v>404</v>
      </c>
    </row>
    <row r="53" customFormat="false" ht="15" hidden="false" customHeight="false" outlineLevel="0" collapsed="false">
      <c r="A53" s="10" t="n">
        <v>12.0563759803772</v>
      </c>
      <c r="B53" s="11" t="n">
        <v>400</v>
      </c>
      <c r="C53" s="12" t="n">
        <f aca="false">B53*'Correction factors'!$B$7</f>
        <v>1935.6</v>
      </c>
      <c r="D53" s="13" t="n">
        <v>3.180394</v>
      </c>
      <c r="E53" s="14" t="n">
        <v>360</v>
      </c>
      <c r="F53" s="10" t="n">
        <f aca="false">E53/'Correction factors'!$B$10</f>
        <v>29.034</v>
      </c>
      <c r="G53" s="11" t="n">
        <v>390</v>
      </c>
    </row>
    <row r="54" customFormat="false" ht="15" hidden="false" customHeight="false" outlineLevel="0" collapsed="false">
      <c r="A54" s="10" t="n">
        <v>12.0563759803772</v>
      </c>
      <c r="B54" s="11" t="n">
        <v>380</v>
      </c>
      <c r="C54" s="12" t="n">
        <f aca="false">B54*'Correction factors'!$B$7</f>
        <v>1838.82</v>
      </c>
      <c r="D54" s="13" t="n">
        <v>3.288432</v>
      </c>
      <c r="E54" s="14" t="n">
        <v>320</v>
      </c>
      <c r="F54" s="10" t="n">
        <f aca="false">E54/'Correction factors'!$B$10</f>
        <v>25.808</v>
      </c>
      <c r="G54" s="11" t="n">
        <v>389</v>
      </c>
    </row>
    <row r="55" customFormat="false" ht="15" hidden="false" customHeight="false" outlineLevel="0" collapsed="false">
      <c r="A55" s="10" t="n">
        <v>12.486053943634</v>
      </c>
      <c r="B55" s="11" t="n">
        <v>400</v>
      </c>
      <c r="C55" s="12" t="n">
        <f aca="false">B55*'Correction factors'!$B$7</f>
        <v>1935.6</v>
      </c>
      <c r="D55" s="13" t="n">
        <v>3.416112</v>
      </c>
      <c r="E55" s="14" t="n">
        <v>328</v>
      </c>
      <c r="F55" s="10" t="n">
        <f aca="false">E55/'Correction factors'!$B$10</f>
        <v>26.4532</v>
      </c>
      <c r="G55" s="11" t="n">
        <v>386</v>
      </c>
    </row>
    <row r="56" customFormat="false" ht="15" hidden="false" customHeight="false" outlineLevel="0" collapsed="false">
      <c r="A56" s="10" t="n">
        <v>12.486053943634</v>
      </c>
      <c r="B56" s="11" t="n">
        <v>400</v>
      </c>
      <c r="C56" s="12" t="n">
        <f aca="false">B56*'Correction factors'!$B$7</f>
        <v>1935.6</v>
      </c>
      <c r="D56" s="13" t="n">
        <v>3.514328</v>
      </c>
      <c r="E56" s="14" t="n">
        <v>312</v>
      </c>
      <c r="F56" s="10" t="n">
        <f aca="false">E56/'Correction factors'!$B$10</f>
        <v>25.1628</v>
      </c>
      <c r="G56" s="11" t="n">
        <v>381</v>
      </c>
    </row>
    <row r="57" customFormat="false" ht="15" hidden="false" customHeight="false" outlineLevel="0" collapsed="false">
      <c r="A57" s="10" t="n">
        <v>12.9172239303589</v>
      </c>
      <c r="B57" s="11" t="n">
        <v>380</v>
      </c>
      <c r="C57" s="12" t="n">
        <f aca="false">B57*'Correction factors'!$B$7</f>
        <v>1838.82</v>
      </c>
      <c r="D57" s="13" t="n">
        <v>3.700939</v>
      </c>
      <c r="E57" s="14" t="n">
        <v>304</v>
      </c>
      <c r="F57" s="10" t="n">
        <f aca="false">E57/'Correction factors'!$B$10</f>
        <v>24.5176</v>
      </c>
      <c r="G57" s="11" t="n">
        <v>367</v>
      </c>
    </row>
    <row r="58" customFormat="false" ht="15" hidden="false" customHeight="false" outlineLevel="0" collapsed="false">
      <c r="A58" s="10" t="n">
        <v>12.9172239303589</v>
      </c>
      <c r="B58" s="11" t="n">
        <v>320</v>
      </c>
      <c r="C58" s="12" t="n">
        <f aca="false">B58*'Correction factors'!$B$7</f>
        <v>1548.48</v>
      </c>
      <c r="D58" s="13" t="n">
        <v>3.838441</v>
      </c>
      <c r="E58" s="14" t="n">
        <v>240</v>
      </c>
      <c r="F58" s="10" t="n">
        <f aca="false">E58/'Correction factors'!$B$10</f>
        <v>19.356</v>
      </c>
      <c r="G58" s="11" t="n">
        <v>367</v>
      </c>
    </row>
    <row r="59" customFormat="false" ht="15" hidden="false" customHeight="false" outlineLevel="0" collapsed="false">
      <c r="A59" s="10" t="n">
        <v>13.3495562076569</v>
      </c>
      <c r="B59" s="11" t="n">
        <v>320</v>
      </c>
      <c r="C59" s="12" t="n">
        <f aca="false">B59*'Correction factors'!$B$7</f>
        <v>1548.48</v>
      </c>
      <c r="D59" s="13" t="n">
        <v>3.966122</v>
      </c>
      <c r="E59" s="14" t="n">
        <v>232</v>
      </c>
      <c r="F59" s="10" t="n">
        <f aca="false">E59/'Correction factors'!$B$10</f>
        <v>18.7108</v>
      </c>
      <c r="G59" s="11" t="n">
        <v>370</v>
      </c>
    </row>
    <row r="60" customFormat="false" ht="15" hidden="false" customHeight="false" outlineLevel="0" collapsed="false">
      <c r="A60" s="10" t="n">
        <v>13.3495562076569</v>
      </c>
      <c r="B60" s="11" t="n">
        <v>360</v>
      </c>
      <c r="C60" s="12" t="n">
        <f aca="false">B60*'Correction factors'!$B$7</f>
        <v>1742.04</v>
      </c>
      <c r="D60" s="13" t="n">
        <v>4.07416</v>
      </c>
      <c r="E60" s="14" t="n">
        <v>240</v>
      </c>
      <c r="F60" s="10" t="n">
        <f aca="false">E60/'Correction factors'!$B$10</f>
        <v>19.356</v>
      </c>
      <c r="G60" s="11" t="n">
        <v>367</v>
      </c>
    </row>
    <row r="61" customFormat="false" ht="15" hidden="false" customHeight="false" outlineLevel="0" collapsed="false">
      <c r="A61" s="10" t="n">
        <v>13.7877764701843</v>
      </c>
      <c r="B61" s="11" t="n">
        <v>380</v>
      </c>
      <c r="C61" s="12" t="n">
        <f aca="false">B61*'Correction factors'!$B$7</f>
        <v>1838.82</v>
      </c>
      <c r="D61" s="13" t="n">
        <v>4.221483</v>
      </c>
      <c r="E61" s="14" t="n">
        <v>240</v>
      </c>
      <c r="F61" s="10" t="n">
        <f aca="false">E61/'Correction factors'!$B$10</f>
        <v>19.356</v>
      </c>
      <c r="G61" s="11" t="n">
        <v>356</v>
      </c>
    </row>
    <row r="62" customFormat="false" ht="15" hidden="false" customHeight="false" outlineLevel="0" collapsed="false">
      <c r="A62" s="10" t="n">
        <v>13.7877764701843</v>
      </c>
      <c r="B62" s="11" t="n">
        <v>320</v>
      </c>
      <c r="C62" s="12" t="n">
        <f aca="false">B62*'Correction factors'!$B$7</f>
        <v>1548.48</v>
      </c>
      <c r="D62" s="13" t="n">
        <v>4.368807</v>
      </c>
      <c r="E62" s="14" t="n">
        <v>200</v>
      </c>
      <c r="F62" s="10" t="n">
        <f aca="false">E62/'Correction factors'!$B$10</f>
        <v>16.13</v>
      </c>
      <c r="G62" s="11" t="n">
        <v>352</v>
      </c>
    </row>
    <row r="63" customFormat="false" ht="15" hidden="false" customHeight="false" outlineLevel="0" collapsed="false">
      <c r="A63" s="10" t="n">
        <v>14.2366302013397</v>
      </c>
      <c r="B63" s="11" t="n">
        <v>320</v>
      </c>
      <c r="C63" s="12" t="n">
        <f aca="false">B63*'Correction factors'!$B$7</f>
        <v>1548.48</v>
      </c>
      <c r="D63" s="13" t="n">
        <v>4.50631</v>
      </c>
      <c r="E63" s="14" t="n">
        <v>176</v>
      </c>
      <c r="F63" s="10" t="n">
        <f aca="false">E63/'Correction factors'!$B$10</f>
        <v>14.1944</v>
      </c>
      <c r="G63" s="11" t="n">
        <v>352</v>
      </c>
    </row>
    <row r="64" customFormat="false" ht="15" hidden="false" customHeight="false" outlineLevel="0" collapsed="false">
      <c r="A64" s="10" t="n">
        <v>14.2366302013397</v>
      </c>
      <c r="B64" s="11" t="n">
        <v>280</v>
      </c>
      <c r="C64" s="12" t="n">
        <f aca="false">B64*'Correction factors'!$B$7</f>
        <v>1354.92</v>
      </c>
      <c r="D64" s="13" t="n">
        <v>4.63399</v>
      </c>
      <c r="E64" s="14" t="n">
        <v>160</v>
      </c>
      <c r="F64" s="10" t="n">
        <f aca="false">E64/'Correction factors'!$B$10</f>
        <v>12.904</v>
      </c>
      <c r="G64" s="11" t="n">
        <v>351</v>
      </c>
    </row>
    <row r="65" customFormat="false" ht="15" hidden="false" customHeight="false" outlineLevel="0" collapsed="false">
      <c r="A65" s="10" t="n">
        <v>14.6957514286041</v>
      </c>
      <c r="B65" s="11" t="n">
        <v>300</v>
      </c>
      <c r="C65" s="12" t="n">
        <f aca="false">B65*'Correction factors'!$B$7</f>
        <v>1451.7</v>
      </c>
      <c r="D65" s="13" t="n">
        <v>4.742028</v>
      </c>
      <c r="E65" s="14" t="n">
        <v>168</v>
      </c>
      <c r="F65" s="10" t="n">
        <f aca="false">E65/'Correction factors'!$B$10</f>
        <v>13.5492</v>
      </c>
      <c r="G65" s="11" t="n">
        <v>352</v>
      </c>
    </row>
    <row r="66" customFormat="false" ht="15" hidden="false" customHeight="false" outlineLevel="0" collapsed="false">
      <c r="A66" s="10" t="n">
        <v>14.6957514286041</v>
      </c>
      <c r="B66" s="11" t="n">
        <v>320</v>
      </c>
      <c r="C66" s="12" t="n">
        <f aca="false">B66*'Correction factors'!$B$7</f>
        <v>1548.48</v>
      </c>
      <c r="D66" s="13" t="n">
        <v>4.850065</v>
      </c>
      <c r="E66" s="14" t="n">
        <v>160</v>
      </c>
      <c r="F66" s="10" t="n">
        <f aca="false">E66/'Correction factors'!$B$10</f>
        <v>12.904</v>
      </c>
      <c r="G66" s="11" t="n">
        <v>350</v>
      </c>
    </row>
    <row r="67" customFormat="false" ht="15" hidden="false" customHeight="false" outlineLevel="0" collapsed="false">
      <c r="A67" s="10" t="n">
        <v>14.6957514286041</v>
      </c>
      <c r="B67" s="11" t="n">
        <v>340</v>
      </c>
      <c r="C67" s="12" t="n">
        <f aca="false">B67*'Correction factors'!$B$7</f>
        <v>1645.26</v>
      </c>
      <c r="D67" s="13" t="n">
        <v>4.938459</v>
      </c>
      <c r="E67" s="14" t="n">
        <v>168</v>
      </c>
      <c r="F67" s="10" t="n">
        <f aca="false">E67/'Correction factors'!$B$10</f>
        <v>13.5492</v>
      </c>
      <c r="G67" s="11" t="n">
        <v>341</v>
      </c>
    </row>
    <row r="68" customFormat="false" ht="15" hidden="false" customHeight="false" outlineLevel="0" collapsed="false">
      <c r="A68" s="10" t="n">
        <v>15.1927316188812</v>
      </c>
      <c r="B68" s="11" t="n">
        <v>260</v>
      </c>
      <c r="C68" s="12" t="n">
        <f aca="false">B68*'Correction factors'!$B$7</f>
        <v>1258.14</v>
      </c>
      <c r="D68" s="13" t="n">
        <v>5.154535</v>
      </c>
      <c r="E68" s="14" t="n">
        <v>136</v>
      </c>
      <c r="F68" s="10" t="n">
        <f aca="false">E68/'Correction factors'!$B$10</f>
        <v>10.9684</v>
      </c>
      <c r="G68" s="11" t="n">
        <v>332</v>
      </c>
    </row>
    <row r="69" customFormat="false" ht="15" hidden="false" customHeight="false" outlineLevel="0" collapsed="false">
      <c r="A69" s="10" t="n">
        <v>15.1927316188812</v>
      </c>
      <c r="B69" s="11" t="n">
        <v>140</v>
      </c>
      <c r="C69" s="12" t="n">
        <f aca="false">B69*'Correction factors'!$B$7</f>
        <v>677.46</v>
      </c>
      <c r="D69" s="13" t="n">
        <v>5.331323</v>
      </c>
      <c r="E69" s="14" t="n">
        <v>80</v>
      </c>
      <c r="F69" s="10" t="n">
        <f aca="false">E69/'Correction factors'!$B$10</f>
        <v>6.452</v>
      </c>
      <c r="G69" s="11" t="n">
        <v>334</v>
      </c>
    </row>
    <row r="70" customFormat="false" ht="15" hidden="false" customHeight="false" outlineLevel="0" collapsed="false">
      <c r="A70" s="10" t="n">
        <v>15.6454646587372</v>
      </c>
      <c r="B70" s="11" t="n">
        <v>180</v>
      </c>
      <c r="C70" s="12" t="n">
        <f aca="false">B70*'Correction factors'!$B$7</f>
        <v>871.02</v>
      </c>
      <c r="D70" s="13" t="n">
        <v>5.419718</v>
      </c>
      <c r="E70" s="14" t="n">
        <v>72</v>
      </c>
      <c r="F70" s="10" t="n">
        <f aca="false">E70/'Correction factors'!$B$10</f>
        <v>5.8068</v>
      </c>
      <c r="G70" s="11" t="n">
        <v>362</v>
      </c>
    </row>
    <row r="71" customFormat="false" ht="15" hidden="false" customHeight="false" outlineLevel="0" collapsed="false">
      <c r="A71" s="10" t="n">
        <v>15.6454646587372</v>
      </c>
      <c r="B71" s="11" t="n">
        <v>280</v>
      </c>
      <c r="C71" s="12" t="n">
        <f aca="false">B71*'Correction factors'!$B$7</f>
        <v>1354.92</v>
      </c>
      <c r="D71" s="13" t="n">
        <v>5.508112</v>
      </c>
      <c r="E71" s="14" t="n">
        <v>104</v>
      </c>
      <c r="F71" s="10" t="n">
        <f aca="false">E71/'Correction factors'!$B$10</f>
        <v>8.3876</v>
      </c>
      <c r="G71" s="11" t="n">
        <v>357</v>
      </c>
    </row>
    <row r="72" customFormat="false" ht="15" hidden="false" customHeight="false" outlineLevel="0" collapsed="false">
      <c r="A72" s="10" t="n">
        <v>16.1405863761902</v>
      </c>
      <c r="B72" s="11" t="n">
        <v>300</v>
      </c>
      <c r="C72" s="12" t="n">
        <f aca="false">B72*'Correction factors'!$B$7</f>
        <v>1451.7</v>
      </c>
      <c r="D72" s="13" t="n">
        <v>5.586685</v>
      </c>
      <c r="E72" s="14" t="n">
        <v>120</v>
      </c>
      <c r="F72" s="10" t="n">
        <f aca="false">E72/'Correction factors'!$B$10</f>
        <v>9.678</v>
      </c>
      <c r="G72" s="11" t="n">
        <v>337</v>
      </c>
    </row>
    <row r="73" customFormat="false" ht="15" hidden="false" customHeight="false" outlineLevel="0" collapsed="false">
      <c r="A73" s="10" t="n">
        <v>16.1405863761902</v>
      </c>
      <c r="B73" s="11" t="n">
        <v>240</v>
      </c>
      <c r="C73" s="12" t="n">
        <f aca="false">B73*'Correction factors'!$B$7</f>
        <v>1161.36</v>
      </c>
      <c r="D73" s="13" t="n">
        <v>5.694722</v>
      </c>
      <c r="E73" s="14" t="n">
        <v>104</v>
      </c>
      <c r="F73" s="10" t="n">
        <f aca="false">E73/'Correction factors'!$B$10</f>
        <v>8.3876</v>
      </c>
      <c r="G73" s="11" t="n">
        <v>336</v>
      </c>
    </row>
    <row r="74" customFormat="false" ht="15" hidden="false" customHeight="false" outlineLevel="0" collapsed="false">
      <c r="A74" s="10" t="n">
        <v>16.1405863761902</v>
      </c>
      <c r="B74" s="11" t="n">
        <v>240</v>
      </c>
      <c r="C74" s="12" t="n">
        <f aca="false">B74*'Correction factors'!$B$7</f>
        <v>1161.36</v>
      </c>
      <c r="D74" s="13" t="n">
        <v>5.783116</v>
      </c>
      <c r="E74" s="14" t="n">
        <v>88</v>
      </c>
      <c r="F74" s="10" t="n">
        <f aca="false">E74/'Correction factors'!$B$10</f>
        <v>7.0972</v>
      </c>
      <c r="G74" s="11" t="n">
        <v>339</v>
      </c>
    </row>
    <row r="75" customFormat="false" ht="15" hidden="false" customHeight="false" outlineLevel="0" collapsed="false">
      <c r="A75" s="10" t="n">
        <v>16.6372907161713</v>
      </c>
      <c r="B75" s="11" t="n">
        <v>240</v>
      </c>
      <c r="C75" s="12" t="n">
        <f aca="false">B75*'Correction factors'!$B$7</f>
        <v>1161.36</v>
      </c>
      <c r="D75" s="13" t="n">
        <v>5.851868</v>
      </c>
      <c r="E75" s="14" t="n">
        <v>88</v>
      </c>
      <c r="F75" s="10" t="n">
        <f aca="false">E75/'Correction factors'!$B$10</f>
        <v>7.0972</v>
      </c>
      <c r="G75" s="11" t="n">
        <v>340</v>
      </c>
    </row>
    <row r="76" customFormat="false" ht="15" hidden="false" customHeight="false" outlineLevel="0" collapsed="false">
      <c r="A76" s="10" t="n">
        <v>16.6372907161713</v>
      </c>
      <c r="B76" s="11" t="n">
        <v>260</v>
      </c>
      <c r="C76" s="12" t="n">
        <f aca="false">B76*'Correction factors'!$B$7</f>
        <v>1258.14</v>
      </c>
      <c r="D76" s="13" t="n">
        <v>5.92062</v>
      </c>
      <c r="E76" s="14" t="n">
        <v>88</v>
      </c>
      <c r="F76" s="10" t="n">
        <f aca="false">E76/'Correction factors'!$B$10</f>
        <v>7.0972</v>
      </c>
      <c r="G76" s="11" t="n">
        <v>339</v>
      </c>
    </row>
    <row r="77" customFormat="false" ht="15" hidden="false" customHeight="false" outlineLevel="0" collapsed="false">
      <c r="A77" s="10" t="n">
        <v>17.0973169803619</v>
      </c>
      <c r="B77" s="11" t="n">
        <v>260</v>
      </c>
      <c r="C77" s="12" t="n">
        <f aca="false">B77*'Correction factors'!$B$7</f>
        <v>1258.14</v>
      </c>
      <c r="D77" s="13" t="n">
        <v>5.98937</v>
      </c>
      <c r="E77" s="14" t="n">
        <v>88</v>
      </c>
      <c r="F77" s="10" t="n">
        <f aca="false">E77/'Correction factors'!$B$10</f>
        <v>7.0972</v>
      </c>
      <c r="G77" s="11" t="n">
        <v>334</v>
      </c>
    </row>
    <row r="78" customFormat="false" ht="15" hidden="false" customHeight="false" outlineLevel="0" collapsed="false">
      <c r="A78" s="10" t="n">
        <v>17.0973169803619</v>
      </c>
      <c r="B78" s="11" t="n">
        <v>260</v>
      </c>
      <c r="C78" s="12" t="n">
        <f aca="false">B78*'Correction factors'!$B$7</f>
        <v>1258.14</v>
      </c>
      <c r="D78" s="13" t="n">
        <v>6.038478</v>
      </c>
      <c r="E78" s="14" t="n">
        <v>88</v>
      </c>
      <c r="F78" s="10" t="n">
        <f aca="false">E78/'Correction factors'!$B$10</f>
        <v>7.0972</v>
      </c>
      <c r="G78" s="11" t="n">
        <v>334</v>
      </c>
    </row>
    <row r="79" customFormat="false" ht="15" hidden="false" customHeight="false" outlineLevel="0" collapsed="false">
      <c r="A79" s="10" t="n">
        <v>17.5565302371979</v>
      </c>
      <c r="B79" s="11" t="n">
        <v>260</v>
      </c>
      <c r="C79" s="12" t="n">
        <f aca="false">B79*'Correction factors'!$B$7</f>
        <v>1258.14</v>
      </c>
      <c r="D79" s="13" t="n">
        <v>6.087586</v>
      </c>
      <c r="E79" s="14" t="n">
        <v>88</v>
      </c>
      <c r="F79" s="10" t="n">
        <f aca="false">E79/'Correction factors'!$B$10</f>
        <v>7.0972</v>
      </c>
      <c r="G79" s="11" t="n">
        <v>333</v>
      </c>
    </row>
    <row r="80" customFormat="false" ht="15" hidden="false" customHeight="false" outlineLevel="0" collapsed="false">
      <c r="A80" s="10" t="n">
        <v>17.5565302371979</v>
      </c>
      <c r="B80" s="11" t="n">
        <v>260</v>
      </c>
      <c r="C80" s="12" t="n">
        <f aca="false">B80*'Correction factors'!$B$7</f>
        <v>1258.14</v>
      </c>
      <c r="D80" s="13" t="n">
        <v>6.136694</v>
      </c>
      <c r="E80" s="14" t="n">
        <v>88</v>
      </c>
      <c r="F80" s="10" t="n">
        <f aca="false">E80/'Correction factors'!$B$10</f>
        <v>7.0972</v>
      </c>
      <c r="G80" s="11" t="n">
        <v>333</v>
      </c>
    </row>
    <row r="81" customFormat="false" ht="15" hidden="false" customHeight="false" outlineLevel="0" collapsed="false">
      <c r="A81" s="10" t="n">
        <v>18.0106854438782</v>
      </c>
      <c r="B81" s="11" t="n">
        <v>240</v>
      </c>
      <c r="C81" s="12" t="n">
        <f aca="false">B81*'Correction factors'!$B$7</f>
        <v>1161.36</v>
      </c>
      <c r="D81" s="13" t="n">
        <v>6.166159</v>
      </c>
      <c r="E81" s="14" t="n">
        <v>88</v>
      </c>
      <c r="F81" s="10" t="n">
        <f aca="false">E81/'Correction factors'!$B$10</f>
        <v>7.0972</v>
      </c>
      <c r="G81" s="11" t="n">
        <v>329</v>
      </c>
    </row>
    <row r="82" customFormat="false" ht="15" hidden="false" customHeight="false" outlineLevel="0" collapsed="false">
      <c r="A82" s="10" t="n">
        <v>18.0106854438782</v>
      </c>
      <c r="B82" s="11" t="n">
        <v>240</v>
      </c>
      <c r="C82" s="12" t="n">
        <f aca="false">B82*'Correction factors'!$B$7</f>
        <v>1161.36</v>
      </c>
      <c r="D82" s="13" t="n">
        <v>6.225088</v>
      </c>
      <c r="E82" s="14" t="n">
        <v>72</v>
      </c>
      <c r="F82" s="10" t="n">
        <f aca="false">E82/'Correction factors'!$B$10</f>
        <v>5.8068</v>
      </c>
      <c r="G82" s="11" t="n">
        <v>329</v>
      </c>
    </row>
    <row r="83" customFormat="false" ht="15" hidden="false" customHeight="false" outlineLevel="0" collapsed="false">
      <c r="A83" s="10" t="n">
        <v>18.0106854438782</v>
      </c>
      <c r="B83" s="11" t="n">
        <v>220</v>
      </c>
      <c r="C83" s="12" t="n">
        <f aca="false">B83*'Correction factors'!$B$7</f>
        <v>1064.58</v>
      </c>
      <c r="D83" s="13" t="n">
        <v>6.254553</v>
      </c>
      <c r="E83" s="14" t="n">
        <v>72</v>
      </c>
      <c r="F83" s="10" t="n">
        <f aca="false">E83/'Correction factors'!$B$10</f>
        <v>5.8068</v>
      </c>
      <c r="G83" s="11" t="n">
        <v>329</v>
      </c>
    </row>
    <row r="84" customFormat="false" ht="15" hidden="false" customHeight="false" outlineLevel="0" collapsed="false">
      <c r="A84" s="10" t="n">
        <v>18.5001215934753</v>
      </c>
      <c r="B84" s="11" t="n">
        <v>220</v>
      </c>
      <c r="C84" s="12" t="n">
        <f aca="false">B84*'Correction factors'!$B$7</f>
        <v>1064.58</v>
      </c>
      <c r="D84" s="13" t="n">
        <v>6.303661</v>
      </c>
      <c r="E84" s="14" t="n">
        <v>72</v>
      </c>
      <c r="F84" s="10" t="n">
        <f aca="false">E84/'Correction factors'!$B$10</f>
        <v>5.8068</v>
      </c>
      <c r="G84" s="11" t="n">
        <v>332</v>
      </c>
    </row>
    <row r="85" customFormat="false" ht="15" hidden="false" customHeight="false" outlineLevel="0" collapsed="false">
      <c r="A85" s="10" t="n">
        <v>18.5001215934753</v>
      </c>
      <c r="B85" s="11" t="n">
        <v>240</v>
      </c>
      <c r="C85" s="12" t="n">
        <f aca="false">B85*'Correction factors'!$B$7</f>
        <v>1161.36</v>
      </c>
      <c r="D85" s="13" t="n">
        <v>6.323305</v>
      </c>
      <c r="E85" s="14" t="n">
        <v>64</v>
      </c>
      <c r="F85" s="10" t="n">
        <f aca="false">E85/'Correction factors'!$B$10</f>
        <v>5.1616</v>
      </c>
      <c r="G85" s="11" t="n">
        <v>331</v>
      </c>
    </row>
    <row r="86" customFormat="false" ht="15" hidden="false" customHeight="false" outlineLevel="0" collapsed="false">
      <c r="A86" s="10" t="n">
        <v>18.943754196167</v>
      </c>
      <c r="B86" s="11" t="n">
        <v>240</v>
      </c>
      <c r="C86" s="12" t="n">
        <f aca="false">B86*'Correction factors'!$B$7</f>
        <v>1161.36</v>
      </c>
      <c r="D86" s="13" t="n">
        <v>6.352769</v>
      </c>
      <c r="E86" s="14" t="n">
        <v>72</v>
      </c>
      <c r="F86" s="10" t="n">
        <f aca="false">E86/'Correction factors'!$B$10</f>
        <v>5.8068</v>
      </c>
      <c r="G86" s="11" t="n">
        <v>327</v>
      </c>
    </row>
    <row r="87" customFormat="false" ht="15" hidden="false" customHeight="false" outlineLevel="0" collapsed="false">
      <c r="A87" s="10" t="n">
        <v>18.943754196167</v>
      </c>
      <c r="B87" s="11" t="n">
        <v>220</v>
      </c>
      <c r="C87" s="12" t="n">
        <f aca="false">B87*'Correction factors'!$B$7</f>
        <v>1064.58</v>
      </c>
      <c r="D87" s="13" t="n">
        <v>6.382234</v>
      </c>
      <c r="E87" s="14" t="n">
        <v>64</v>
      </c>
      <c r="F87" s="10" t="n">
        <f aca="false">E87/'Correction factors'!$B$10</f>
        <v>5.1616</v>
      </c>
      <c r="G87" s="11" t="n">
        <v>327</v>
      </c>
    </row>
    <row r="88" customFormat="false" ht="15" hidden="false" customHeight="false" outlineLevel="0" collapsed="false">
      <c r="A88" s="10" t="n">
        <v>19.3952045440674</v>
      </c>
      <c r="B88" s="11" t="n">
        <v>220</v>
      </c>
      <c r="C88" s="12" t="n">
        <f aca="false">B88*'Correction factors'!$B$7</f>
        <v>1064.58</v>
      </c>
      <c r="D88" s="13" t="n">
        <v>6.401877</v>
      </c>
      <c r="E88" s="14" t="n">
        <v>64</v>
      </c>
      <c r="F88" s="10" t="n">
        <f aca="false">E88/'Correction factors'!$B$10</f>
        <v>5.1616</v>
      </c>
      <c r="G88" s="11" t="n">
        <v>327</v>
      </c>
    </row>
    <row r="89" customFormat="false" ht="15" hidden="false" customHeight="false" outlineLevel="0" collapsed="false">
      <c r="A89" s="10" t="n">
        <v>19.3952045440674</v>
      </c>
      <c r="B89" s="11" t="n">
        <v>220</v>
      </c>
      <c r="C89" s="12" t="n">
        <f aca="false">B89*'Correction factors'!$B$7</f>
        <v>1064.58</v>
      </c>
      <c r="D89" s="13" t="n">
        <v>6.401877</v>
      </c>
      <c r="E89" s="14" t="n">
        <v>72</v>
      </c>
      <c r="F89" s="10" t="n">
        <f aca="false">E89/'Correction factors'!$B$10</f>
        <v>5.8068</v>
      </c>
      <c r="G89" s="11" t="n">
        <v>327</v>
      </c>
    </row>
    <row r="90" customFormat="false" ht="15" hidden="false" customHeight="false" outlineLevel="0" collapsed="false">
      <c r="A90" s="10" t="n">
        <v>19.8426513671875</v>
      </c>
      <c r="B90" s="11" t="n">
        <v>220</v>
      </c>
      <c r="C90" s="12" t="n">
        <f aca="false">B90*'Correction factors'!$B$7</f>
        <v>1064.58</v>
      </c>
      <c r="D90" s="13" t="n">
        <v>6.411699</v>
      </c>
      <c r="E90" s="14" t="n">
        <v>64</v>
      </c>
      <c r="F90" s="10" t="n">
        <f aca="false">E90/'Correction factors'!$B$10</f>
        <v>5.1616</v>
      </c>
      <c r="G90" s="11" t="n">
        <v>327</v>
      </c>
    </row>
    <row r="91" customFormat="false" ht="15" hidden="false" customHeight="false" outlineLevel="0" collapsed="false">
      <c r="A91" s="10" t="n">
        <v>19.8426513671875</v>
      </c>
      <c r="B91" s="11" t="n">
        <v>220</v>
      </c>
      <c r="C91" s="12" t="n">
        <f aca="false">B91*'Correction factors'!$B$7</f>
        <v>1064.58</v>
      </c>
      <c r="D91" s="13" t="n">
        <v>6.42152</v>
      </c>
      <c r="E91" s="14" t="n">
        <v>64</v>
      </c>
      <c r="F91" s="10" t="n">
        <f aca="false">E91/'Correction factors'!$B$10</f>
        <v>5.1616</v>
      </c>
      <c r="G91" s="11" t="n">
        <v>327</v>
      </c>
    </row>
    <row r="92" customFormat="false" ht="15" hidden="false" customHeight="false" outlineLevel="0" collapsed="false">
      <c r="A92" s="10" t="n">
        <v>20.3223299980164</v>
      </c>
      <c r="B92" s="11" t="n">
        <v>220</v>
      </c>
      <c r="C92" s="12" t="n">
        <f aca="false">B92*'Correction factors'!$B$7</f>
        <v>1064.58</v>
      </c>
      <c r="D92" s="13" t="n">
        <v>6.431342</v>
      </c>
      <c r="E92" s="14" t="n">
        <v>64</v>
      </c>
      <c r="F92" s="10" t="n">
        <f aca="false">E92/'Correction factors'!$B$10</f>
        <v>5.1616</v>
      </c>
      <c r="G92" s="11" t="n">
        <v>327</v>
      </c>
    </row>
    <row r="93" customFormat="false" ht="15" hidden="false" customHeight="false" outlineLevel="0" collapsed="false">
      <c r="A93" s="10" t="n">
        <v>20.3223299980164</v>
      </c>
      <c r="B93" s="11" t="n">
        <v>220</v>
      </c>
      <c r="C93" s="12" t="n">
        <f aca="false">B93*'Correction factors'!$B$7</f>
        <v>1064.58</v>
      </c>
      <c r="D93" s="13" t="n">
        <v>6.431342</v>
      </c>
      <c r="E93" s="14" t="n">
        <v>64</v>
      </c>
      <c r="F93" s="10" t="n">
        <f aca="false">E93/'Correction factors'!$B$10</f>
        <v>5.1616</v>
      </c>
      <c r="G93" s="11" t="n">
        <v>327</v>
      </c>
    </row>
    <row r="94" customFormat="false" ht="15" hidden="false" customHeight="false" outlineLevel="0" collapsed="false">
      <c r="A94" s="10" t="n">
        <v>20.3223299980164</v>
      </c>
      <c r="B94" s="11" t="n">
        <v>200</v>
      </c>
      <c r="C94" s="12" t="n">
        <f aca="false">B94*'Correction factors'!$B$7</f>
        <v>967.8</v>
      </c>
      <c r="D94" s="13" t="n">
        <v>6.42152</v>
      </c>
      <c r="E94" s="14" t="n">
        <v>64</v>
      </c>
      <c r="F94" s="10" t="n">
        <f aca="false">E94/'Correction factors'!$B$10</f>
        <v>5.1616</v>
      </c>
      <c r="G94" s="11" t="n">
        <v>327</v>
      </c>
    </row>
    <row r="95" customFormat="false" ht="15" hidden="false" customHeight="false" outlineLevel="0" collapsed="false">
      <c r="A95" s="10" t="n">
        <v>20.7879340648651</v>
      </c>
      <c r="B95" s="11" t="n">
        <v>200</v>
      </c>
      <c r="C95" s="12" t="n">
        <f aca="false">B95*'Correction factors'!$B$7</f>
        <v>967.8</v>
      </c>
      <c r="D95" s="13" t="n">
        <v>6.431342</v>
      </c>
      <c r="E95" s="14" t="n">
        <v>56</v>
      </c>
      <c r="F95" s="10" t="n">
        <f aca="false">E95/'Correction factors'!$B$10</f>
        <v>4.5164</v>
      </c>
      <c r="G95" s="11" t="n">
        <v>327</v>
      </c>
    </row>
    <row r="96" customFormat="false" ht="15" hidden="false" customHeight="false" outlineLevel="0" collapsed="false">
      <c r="A96" s="10" t="n">
        <v>20.7879340648651</v>
      </c>
      <c r="B96" s="11" t="n">
        <v>220</v>
      </c>
      <c r="C96" s="12" t="n">
        <f aca="false">B96*'Correction factors'!$B$7</f>
        <v>1064.58</v>
      </c>
      <c r="D96" s="13" t="n">
        <v>6.42152</v>
      </c>
      <c r="E96" s="14" t="n">
        <v>64</v>
      </c>
      <c r="F96" s="10" t="n">
        <f aca="false">E96/'Correction factors'!$B$10</f>
        <v>5.1616</v>
      </c>
      <c r="G96" s="11" t="n">
        <v>327</v>
      </c>
    </row>
    <row r="97" customFormat="false" ht="15" hidden="false" customHeight="false" outlineLevel="0" collapsed="false">
      <c r="A97" s="10" t="n">
        <v>21.216566324234</v>
      </c>
      <c r="B97" s="11" t="n">
        <v>220</v>
      </c>
      <c r="C97" s="12" t="n">
        <f aca="false">B97*'Correction factors'!$B$7</f>
        <v>1064.58</v>
      </c>
      <c r="D97" s="13" t="n">
        <v>6.431342</v>
      </c>
      <c r="E97" s="14" t="n">
        <v>64</v>
      </c>
      <c r="F97" s="10" t="n">
        <f aca="false">E97/'Correction factors'!$B$10</f>
        <v>5.1616</v>
      </c>
      <c r="G97" s="11" t="n">
        <v>327</v>
      </c>
    </row>
    <row r="98" customFormat="false" ht="15" hidden="false" customHeight="false" outlineLevel="0" collapsed="false">
      <c r="A98" s="10" t="n">
        <v>21.216566324234</v>
      </c>
      <c r="B98" s="11" t="n">
        <v>220</v>
      </c>
      <c r="C98" s="12" t="n">
        <f aca="false">B98*'Correction factors'!$B$7</f>
        <v>1064.58</v>
      </c>
      <c r="D98" s="13" t="n">
        <v>6.401877</v>
      </c>
      <c r="E98" s="14" t="n">
        <v>64</v>
      </c>
      <c r="F98" s="10" t="n">
        <f aca="false">E98/'Correction factors'!$B$10</f>
        <v>5.1616</v>
      </c>
      <c r="G98" s="11" t="n">
        <v>325</v>
      </c>
    </row>
    <row r="99" customFormat="false" ht="15" hidden="false" customHeight="false" outlineLevel="0" collapsed="false">
      <c r="A99" s="10" t="n">
        <v>21.6509492397308</v>
      </c>
      <c r="B99" s="11" t="n">
        <v>200</v>
      </c>
      <c r="C99" s="12" t="n">
        <f aca="false">B99*'Correction factors'!$B$7</f>
        <v>967.8</v>
      </c>
      <c r="D99" s="13" t="n">
        <v>6.401877</v>
      </c>
      <c r="E99" s="14" t="n">
        <v>56</v>
      </c>
      <c r="F99" s="10" t="n">
        <f aca="false">E99/'Correction factors'!$B$10</f>
        <v>4.5164</v>
      </c>
      <c r="G99" s="11" t="n">
        <v>325</v>
      </c>
    </row>
    <row r="100" customFormat="false" ht="15" hidden="false" customHeight="false" outlineLevel="0" collapsed="false">
      <c r="A100" s="10" t="n">
        <v>21.6509492397308</v>
      </c>
      <c r="B100" s="11" t="n">
        <v>200</v>
      </c>
      <c r="C100" s="12" t="n">
        <f aca="false">B100*'Correction factors'!$B$7</f>
        <v>967.8</v>
      </c>
      <c r="D100" s="13" t="n">
        <v>6.401877</v>
      </c>
      <c r="E100" s="14" t="n">
        <v>56</v>
      </c>
      <c r="F100" s="10" t="n">
        <f aca="false">E100/'Correction factors'!$B$10</f>
        <v>4.5164</v>
      </c>
      <c r="G100" s="11" t="n">
        <v>325</v>
      </c>
    </row>
    <row r="101" customFormat="false" ht="15" hidden="false" customHeight="false" outlineLevel="0" collapsed="false">
      <c r="A101" s="10" t="n">
        <v>22.0845839977264</v>
      </c>
      <c r="B101" s="11" t="n">
        <v>200</v>
      </c>
      <c r="C101" s="12" t="n">
        <f aca="false">B101*'Correction factors'!$B$7</f>
        <v>967.8</v>
      </c>
      <c r="D101" s="13" t="n">
        <v>6.401877</v>
      </c>
      <c r="E101" s="14" t="n">
        <v>56</v>
      </c>
      <c r="F101" s="10" t="n">
        <f aca="false">E101/'Correction factors'!$B$10</f>
        <v>4.5164</v>
      </c>
      <c r="G101" s="11" t="n">
        <v>325</v>
      </c>
    </row>
    <row r="102" customFormat="false" ht="15" hidden="false" customHeight="false" outlineLevel="0" collapsed="false">
      <c r="A102" s="10" t="n">
        <v>22.0845839977264</v>
      </c>
      <c r="B102" s="11" t="n">
        <v>200</v>
      </c>
      <c r="C102" s="12" t="n">
        <f aca="false">B102*'Correction factors'!$B$7</f>
        <v>967.8</v>
      </c>
      <c r="D102" s="13" t="n">
        <v>6.392056</v>
      </c>
      <c r="E102" s="14" t="n">
        <v>56</v>
      </c>
      <c r="F102" s="10" t="n">
        <f aca="false">E102/'Correction factors'!$B$10</f>
        <v>4.5164</v>
      </c>
      <c r="G102" s="11" t="n">
        <v>325</v>
      </c>
    </row>
    <row r="103" customFormat="false" ht="15" hidden="false" customHeight="false" outlineLevel="0" collapsed="false">
      <c r="A103" s="10" t="n">
        <v>22.5197451114655</v>
      </c>
      <c r="B103" s="11" t="n">
        <v>200</v>
      </c>
      <c r="C103" s="12" t="n">
        <f aca="false">B103*'Correction factors'!$B$7</f>
        <v>967.8</v>
      </c>
      <c r="D103" s="13" t="n">
        <v>6.382234</v>
      </c>
      <c r="E103" s="14" t="n">
        <v>56</v>
      </c>
      <c r="F103" s="10" t="n">
        <f aca="false">E103/'Correction factors'!$B$10</f>
        <v>4.5164</v>
      </c>
      <c r="G103" s="11" t="n">
        <v>325</v>
      </c>
    </row>
    <row r="104" customFormat="false" ht="15" hidden="false" customHeight="false" outlineLevel="0" collapsed="false">
      <c r="A104" s="10" t="n">
        <v>22.5197451114655</v>
      </c>
      <c r="B104" s="11" t="n">
        <v>180</v>
      </c>
      <c r="C104" s="12" t="n">
        <f aca="false">B104*'Correction factors'!$B$7</f>
        <v>871.02</v>
      </c>
      <c r="D104" s="13" t="n">
        <v>6.372413</v>
      </c>
      <c r="E104" s="14" t="n">
        <v>56</v>
      </c>
      <c r="F104" s="10" t="n">
        <f aca="false">E104/'Correction factors'!$B$10</f>
        <v>4.5164</v>
      </c>
      <c r="G104" s="11" t="n">
        <v>325</v>
      </c>
    </row>
    <row r="105" customFormat="false" ht="15" hidden="false" customHeight="false" outlineLevel="0" collapsed="false">
      <c r="A105" s="10" t="n">
        <v>22.9373118877411</v>
      </c>
      <c r="B105" s="11" t="n">
        <v>180</v>
      </c>
      <c r="C105" s="12" t="n">
        <f aca="false">B105*'Correction factors'!$B$7</f>
        <v>871.02</v>
      </c>
      <c r="D105" s="13" t="n">
        <v>6.362591</v>
      </c>
      <c r="E105" s="14" t="n">
        <v>56</v>
      </c>
      <c r="F105" s="10" t="n">
        <f aca="false">E105/'Correction factors'!$B$10</f>
        <v>4.5164</v>
      </c>
      <c r="G105" s="11" t="n">
        <v>328</v>
      </c>
    </row>
    <row r="106" customFormat="false" ht="15" hidden="false" customHeight="false" outlineLevel="0" collapsed="false">
      <c r="A106" s="10" t="n">
        <v>22.9373118877411</v>
      </c>
      <c r="B106" s="11" t="n">
        <v>200</v>
      </c>
      <c r="C106" s="12" t="n">
        <f aca="false">B106*'Correction factors'!$B$7</f>
        <v>967.8</v>
      </c>
      <c r="D106" s="13" t="n">
        <v>6.352769</v>
      </c>
      <c r="E106" s="14" t="n">
        <v>56</v>
      </c>
      <c r="F106" s="10" t="n">
        <f aca="false">E106/'Correction factors'!$B$10</f>
        <v>4.5164</v>
      </c>
      <c r="G106" s="11" t="n">
        <v>328</v>
      </c>
    </row>
    <row r="107" customFormat="false" ht="15" hidden="false" customHeight="false" outlineLevel="0" collapsed="false">
      <c r="A107" s="10" t="n">
        <v>23.3555519580841</v>
      </c>
      <c r="B107" s="11" t="n">
        <v>200</v>
      </c>
      <c r="C107" s="12" t="n">
        <f aca="false">B107*'Correction factors'!$B$7</f>
        <v>967.8</v>
      </c>
      <c r="D107" s="13" t="n">
        <v>6.333126</v>
      </c>
      <c r="E107" s="14" t="n">
        <v>56</v>
      </c>
      <c r="F107" s="10" t="n">
        <f aca="false">E107/'Correction factors'!$B$10</f>
        <v>4.5164</v>
      </c>
      <c r="G107" s="11" t="n">
        <v>327</v>
      </c>
    </row>
    <row r="108" customFormat="false" ht="15" hidden="false" customHeight="false" outlineLevel="0" collapsed="false">
      <c r="A108" s="10" t="n">
        <v>23.3555519580841</v>
      </c>
      <c r="B108" s="11" t="n">
        <v>200</v>
      </c>
      <c r="C108" s="12" t="n">
        <f aca="false">B108*'Correction factors'!$B$7</f>
        <v>967.8</v>
      </c>
      <c r="D108" s="13" t="n">
        <v>6.323305</v>
      </c>
      <c r="E108" s="14" t="n">
        <v>56</v>
      </c>
      <c r="F108" s="10" t="n">
        <f aca="false">E108/'Correction factors'!$B$10</f>
        <v>4.5164</v>
      </c>
      <c r="G108" s="11" t="n">
        <v>327</v>
      </c>
    </row>
    <row r="109" customFormat="false" ht="15" hidden="false" customHeight="false" outlineLevel="0" collapsed="false">
      <c r="A109" s="10" t="n">
        <v>23.7673873901367</v>
      </c>
      <c r="B109" s="11" t="n">
        <v>180</v>
      </c>
      <c r="C109" s="12" t="n">
        <f aca="false">B109*'Correction factors'!$B$7</f>
        <v>871.02</v>
      </c>
      <c r="D109" s="13" t="n">
        <v>6.303661</v>
      </c>
      <c r="E109" s="14" t="n">
        <v>56</v>
      </c>
      <c r="F109" s="10" t="n">
        <f aca="false">E109/'Correction factors'!$B$10</f>
        <v>4.5164</v>
      </c>
      <c r="G109" s="11" t="n">
        <v>327</v>
      </c>
    </row>
    <row r="110" customFormat="false" ht="15" hidden="false" customHeight="false" outlineLevel="0" collapsed="false">
      <c r="A110" s="10" t="n">
        <v>23.7673873901367</v>
      </c>
      <c r="B110" s="11" t="n">
        <v>180</v>
      </c>
      <c r="C110" s="12" t="n">
        <f aca="false">B110*'Correction factors'!$B$7</f>
        <v>871.02</v>
      </c>
      <c r="D110" s="13" t="n">
        <v>6.293839</v>
      </c>
      <c r="E110" s="14" t="n">
        <v>56</v>
      </c>
      <c r="F110" s="10" t="n">
        <f aca="false">E110/'Correction factors'!$B$10</f>
        <v>4.5164</v>
      </c>
      <c r="G110" s="11" t="n">
        <v>327</v>
      </c>
    </row>
    <row r="111" customFormat="false" ht="15" hidden="false" customHeight="false" outlineLevel="0" collapsed="false">
      <c r="A111" s="10" t="n">
        <v>24.1666347980499</v>
      </c>
      <c r="B111" s="11" t="n">
        <v>180</v>
      </c>
      <c r="C111" s="12" t="n">
        <f aca="false">B111*'Correction factors'!$B$7</f>
        <v>871.02</v>
      </c>
      <c r="D111" s="13" t="n">
        <v>6.264375</v>
      </c>
      <c r="E111" s="14" t="n">
        <v>56</v>
      </c>
      <c r="F111" s="10" t="n">
        <f aca="false">E111/'Correction factors'!$B$10</f>
        <v>4.5164</v>
      </c>
      <c r="G111" s="11" t="n">
        <v>328</v>
      </c>
    </row>
    <row r="112" customFormat="false" ht="15" hidden="false" customHeight="false" outlineLevel="0" collapsed="false">
      <c r="A112" s="10" t="n">
        <v>24.1666347980499</v>
      </c>
      <c r="B112" s="11" t="n">
        <v>180</v>
      </c>
      <c r="C112" s="12" t="n">
        <f aca="false">B112*'Correction factors'!$B$7</f>
        <v>871.02</v>
      </c>
      <c r="D112" s="13" t="n">
        <v>6.254553</v>
      </c>
      <c r="E112" s="14" t="n">
        <v>56</v>
      </c>
      <c r="F112" s="10" t="n">
        <f aca="false">E112/'Correction factors'!$B$10</f>
        <v>4.5164</v>
      </c>
      <c r="G112" s="11" t="n">
        <v>328</v>
      </c>
    </row>
    <row r="113" customFormat="false" ht="15" hidden="false" customHeight="false" outlineLevel="0" collapsed="false">
      <c r="A113" s="10" t="n">
        <v>24.5680341720581</v>
      </c>
      <c r="B113" s="11" t="n">
        <v>200</v>
      </c>
      <c r="C113" s="12" t="n">
        <f aca="false">B113*'Correction factors'!$B$7</f>
        <v>967.8</v>
      </c>
      <c r="D113" s="13" t="n">
        <v>6.23491</v>
      </c>
      <c r="E113" s="14" t="n">
        <v>56</v>
      </c>
      <c r="F113" s="10" t="n">
        <f aca="false">E113/'Correction factors'!$B$10</f>
        <v>4.5164</v>
      </c>
      <c r="G113" s="11" t="n">
        <v>329</v>
      </c>
    </row>
    <row r="114" customFormat="false" ht="15" hidden="false" customHeight="false" outlineLevel="0" collapsed="false">
      <c r="A114" s="10" t="n">
        <v>24.5680341720581</v>
      </c>
      <c r="B114" s="11" t="n">
        <v>180</v>
      </c>
      <c r="C114" s="12" t="n">
        <f aca="false">B114*'Correction factors'!$B$7</f>
        <v>871.02</v>
      </c>
      <c r="D114" s="13" t="n">
        <v>6.225088</v>
      </c>
      <c r="E114" s="14" t="n">
        <v>56</v>
      </c>
      <c r="F114" s="10" t="n">
        <f aca="false">E114/'Correction factors'!$B$10</f>
        <v>4.5164</v>
      </c>
      <c r="G114" s="11" t="n">
        <v>328</v>
      </c>
    </row>
    <row r="115" customFormat="false" ht="15" hidden="false" customHeight="false" outlineLevel="0" collapsed="false">
      <c r="A115" s="10" t="n">
        <v>25.0129435062408</v>
      </c>
      <c r="B115" s="11" t="n">
        <v>200</v>
      </c>
      <c r="C115" s="12" t="n">
        <f aca="false">B115*'Correction factors'!$B$7</f>
        <v>967.8</v>
      </c>
      <c r="D115" s="13" t="n">
        <v>6.205445</v>
      </c>
      <c r="E115" s="14" t="n">
        <v>56</v>
      </c>
      <c r="F115" s="10" t="n">
        <f aca="false">E115/'Correction factors'!$B$10</f>
        <v>4.5164</v>
      </c>
      <c r="G115" s="11" t="n">
        <v>329</v>
      </c>
    </row>
    <row r="116" customFormat="false" ht="15" hidden="false" customHeight="false" outlineLevel="0" collapsed="false">
      <c r="A116" s="10" t="n">
        <v>25.0129435062408</v>
      </c>
      <c r="B116" s="11" t="n">
        <v>180</v>
      </c>
      <c r="C116" s="12" t="n">
        <f aca="false">B116*'Correction factors'!$B$7</f>
        <v>871.02</v>
      </c>
      <c r="D116" s="13" t="n">
        <v>6.195624</v>
      </c>
      <c r="E116" s="14" t="n">
        <v>56</v>
      </c>
      <c r="F116" s="10" t="n">
        <f aca="false">E116/'Correction factors'!$B$10</f>
        <v>4.5164</v>
      </c>
      <c r="G116" s="11" t="n">
        <v>329</v>
      </c>
    </row>
    <row r="117" customFormat="false" ht="15" hidden="false" customHeight="false" outlineLevel="0" collapsed="false">
      <c r="A117" s="10" t="n">
        <v>25.4232749938965</v>
      </c>
      <c r="B117" s="11" t="n">
        <v>200</v>
      </c>
      <c r="C117" s="12" t="n">
        <f aca="false">B117*'Correction factors'!$B$7</f>
        <v>967.8</v>
      </c>
      <c r="D117" s="13" t="n">
        <v>6.175981</v>
      </c>
      <c r="E117" s="14" t="n">
        <v>56</v>
      </c>
      <c r="F117" s="10" t="n">
        <f aca="false">E117/'Correction factors'!$B$10</f>
        <v>4.5164</v>
      </c>
      <c r="G117" s="11" t="n">
        <v>329</v>
      </c>
    </row>
    <row r="118" customFormat="false" ht="15" hidden="false" customHeight="false" outlineLevel="0" collapsed="false">
      <c r="A118" s="10" t="n">
        <v>25.4232749938965</v>
      </c>
      <c r="B118" s="11" t="n">
        <v>180</v>
      </c>
      <c r="C118" s="12" t="n">
        <f aca="false">B118*'Correction factors'!$B$7</f>
        <v>871.02</v>
      </c>
      <c r="D118" s="13" t="n">
        <v>6.166159</v>
      </c>
      <c r="E118" s="14" t="n">
        <v>56</v>
      </c>
      <c r="F118" s="10" t="n">
        <f aca="false">E118/'Correction factors'!$B$10</f>
        <v>4.5164</v>
      </c>
      <c r="G118" s="11" t="n">
        <v>329</v>
      </c>
    </row>
    <row r="119" customFormat="false" ht="15" hidden="false" customHeight="false" outlineLevel="0" collapsed="false">
      <c r="A119" s="10" t="n">
        <v>25.844277381897</v>
      </c>
      <c r="B119" s="11" t="n">
        <v>180</v>
      </c>
      <c r="C119" s="12" t="n">
        <f aca="false">B119*'Correction factors'!$B$7</f>
        <v>871.02</v>
      </c>
      <c r="D119" s="13" t="n">
        <v>6.146516</v>
      </c>
      <c r="E119" s="14" t="n">
        <v>56</v>
      </c>
      <c r="F119" s="10" t="n">
        <f aca="false">E119/'Correction factors'!$B$10</f>
        <v>4.5164</v>
      </c>
      <c r="G119" s="11" t="n">
        <v>332</v>
      </c>
    </row>
    <row r="120" customFormat="false" ht="15" hidden="false" customHeight="false" outlineLevel="0" collapsed="false">
      <c r="A120" s="10" t="n">
        <v>25.844277381897</v>
      </c>
      <c r="B120" s="11" t="n">
        <v>180</v>
      </c>
      <c r="C120" s="12" t="n">
        <f aca="false">B120*'Correction factors'!$B$7</f>
        <v>871.02</v>
      </c>
      <c r="D120" s="13" t="n">
        <v>6.117051</v>
      </c>
      <c r="E120" s="14" t="n">
        <v>56</v>
      </c>
      <c r="F120" s="10" t="n">
        <f aca="false">E120/'Correction factors'!$B$10</f>
        <v>4.5164</v>
      </c>
      <c r="G120" s="11" t="n">
        <v>332</v>
      </c>
    </row>
    <row r="121" customFormat="false" ht="15" hidden="false" customHeight="false" outlineLevel="0" collapsed="false">
      <c r="A121" s="10" t="n">
        <v>26.2611792087555</v>
      </c>
      <c r="B121" s="11" t="n">
        <v>200</v>
      </c>
      <c r="C121" s="12" t="n">
        <f aca="false">B121*'Correction factors'!$B$7</f>
        <v>967.8</v>
      </c>
      <c r="D121" s="13" t="n">
        <v>6.087586</v>
      </c>
      <c r="E121" s="14" t="n">
        <v>64</v>
      </c>
      <c r="F121" s="10" t="n">
        <f aca="false">E121/'Correction factors'!$B$10</f>
        <v>5.1616</v>
      </c>
      <c r="G121" s="11" t="n">
        <v>332</v>
      </c>
    </row>
    <row r="122" customFormat="false" ht="15" hidden="false" customHeight="false" outlineLevel="0" collapsed="false">
      <c r="A122" s="10" t="n">
        <v>26.2611792087555</v>
      </c>
      <c r="B122" s="11" t="n">
        <v>200</v>
      </c>
      <c r="C122" s="12" t="n">
        <f aca="false">B122*'Correction factors'!$B$7</f>
        <v>967.8</v>
      </c>
      <c r="D122" s="13" t="n">
        <v>6.067943</v>
      </c>
      <c r="E122" s="14" t="n">
        <v>56</v>
      </c>
      <c r="F122" s="10" t="n">
        <f aca="false">E122/'Correction factors'!$B$10</f>
        <v>4.5164</v>
      </c>
      <c r="G122" s="11" t="n">
        <v>331</v>
      </c>
    </row>
    <row r="123" customFormat="false" ht="15" hidden="false" customHeight="false" outlineLevel="0" collapsed="false">
      <c r="A123" s="10" t="n">
        <v>26.6773965358734</v>
      </c>
      <c r="B123" s="11" t="n">
        <v>200</v>
      </c>
      <c r="C123" s="12" t="n">
        <f aca="false">B123*'Correction factors'!$B$7</f>
        <v>967.8</v>
      </c>
      <c r="D123" s="13" t="n">
        <v>6.058122</v>
      </c>
      <c r="E123" s="14" t="n">
        <v>56</v>
      </c>
      <c r="F123" s="10" t="n">
        <f aca="false">E123/'Correction factors'!$B$10</f>
        <v>4.5164</v>
      </c>
      <c r="G123" s="11" t="n">
        <v>332</v>
      </c>
    </row>
    <row r="124" customFormat="false" ht="15" hidden="false" customHeight="false" outlineLevel="0" collapsed="false">
      <c r="A124" s="10" t="n">
        <v>26.6773965358734</v>
      </c>
      <c r="B124" s="11" t="n">
        <v>200</v>
      </c>
      <c r="C124" s="12" t="n">
        <f aca="false">B124*'Correction factors'!$B$7</f>
        <v>967.8</v>
      </c>
      <c r="D124" s="13" t="n">
        <v>6.038478</v>
      </c>
      <c r="E124" s="14" t="n">
        <v>64</v>
      </c>
      <c r="F124" s="10" t="n">
        <f aca="false">E124/'Correction factors'!$B$10</f>
        <v>5.1616</v>
      </c>
      <c r="G124" s="11" t="n">
        <v>331</v>
      </c>
    </row>
    <row r="125" customFormat="false" ht="15" hidden="false" customHeight="false" outlineLevel="0" collapsed="false">
      <c r="A125" s="10" t="n">
        <v>26.6773965358734</v>
      </c>
      <c r="B125" s="11" t="n">
        <v>180</v>
      </c>
      <c r="C125" s="12" t="n">
        <f aca="false">B125*'Correction factors'!$B$7</f>
        <v>871.02</v>
      </c>
      <c r="D125" s="13" t="n">
        <v>6.018835</v>
      </c>
      <c r="E125" s="14" t="n">
        <v>56</v>
      </c>
      <c r="F125" s="10" t="n">
        <f aca="false">E125/'Correction factors'!$B$10</f>
        <v>4.5164</v>
      </c>
      <c r="G125" s="11" t="n">
        <v>332</v>
      </c>
    </row>
    <row r="126" customFormat="false" ht="15" hidden="false" customHeight="false" outlineLevel="0" collapsed="false">
      <c r="A126" s="10" t="n">
        <v>27.1537036895752</v>
      </c>
      <c r="B126" s="11" t="n">
        <v>180</v>
      </c>
      <c r="C126" s="12" t="n">
        <f aca="false">B126*'Correction factors'!$B$7</f>
        <v>871.02</v>
      </c>
      <c r="D126" s="13" t="n">
        <v>5.999192</v>
      </c>
      <c r="E126" s="14" t="n">
        <v>64</v>
      </c>
      <c r="F126" s="10" t="n">
        <f aca="false">E126/'Correction factors'!$B$10</f>
        <v>5.1616</v>
      </c>
      <c r="G126" s="11" t="n">
        <v>331</v>
      </c>
    </row>
    <row r="127" customFormat="false" ht="15" hidden="false" customHeight="false" outlineLevel="0" collapsed="false">
      <c r="A127" s="10" t="n">
        <v>27.1537036895752</v>
      </c>
      <c r="B127" s="11" t="n">
        <v>180</v>
      </c>
      <c r="C127" s="12" t="n">
        <f aca="false">B127*'Correction factors'!$B$7</f>
        <v>871.02</v>
      </c>
      <c r="D127" s="13" t="n">
        <v>5.979549</v>
      </c>
      <c r="E127" s="14" t="n">
        <v>56</v>
      </c>
      <c r="F127" s="10" t="n">
        <f aca="false">E127/'Correction factors'!$B$10</f>
        <v>4.5164</v>
      </c>
      <c r="G127" s="11" t="n">
        <v>333</v>
      </c>
    </row>
    <row r="128" customFormat="false" ht="15" hidden="false" customHeight="false" outlineLevel="0" collapsed="false">
      <c r="A128" s="10" t="n">
        <v>27.5734522342682</v>
      </c>
      <c r="B128" s="11" t="n">
        <v>180</v>
      </c>
      <c r="C128" s="12" t="n">
        <f aca="false">B128*'Correction factors'!$B$7</f>
        <v>871.02</v>
      </c>
      <c r="D128" s="13" t="n">
        <v>5.959905</v>
      </c>
      <c r="E128" s="14" t="n">
        <v>56</v>
      </c>
      <c r="F128" s="10" t="n">
        <f aca="false">E128/'Correction factors'!$B$10</f>
        <v>4.5164</v>
      </c>
      <c r="G128" s="11" t="n">
        <v>334</v>
      </c>
    </row>
    <row r="129" customFormat="false" ht="15" hidden="false" customHeight="false" outlineLevel="0" collapsed="false">
      <c r="A129" s="10" t="n">
        <v>27.5734522342682</v>
      </c>
      <c r="B129" s="11" t="n">
        <v>200</v>
      </c>
      <c r="C129" s="12" t="n">
        <f aca="false">B129*'Correction factors'!$B$7</f>
        <v>967.8</v>
      </c>
      <c r="D129" s="13" t="n">
        <v>5.930441</v>
      </c>
      <c r="E129" s="14" t="n">
        <v>64</v>
      </c>
      <c r="F129" s="10" t="n">
        <f aca="false">E129/'Correction factors'!$B$10</f>
        <v>5.1616</v>
      </c>
      <c r="G129" s="11" t="n">
        <v>335</v>
      </c>
    </row>
    <row r="130" customFormat="false" ht="15" hidden="false" customHeight="false" outlineLevel="0" collapsed="false">
      <c r="A130" s="10" t="n">
        <v>27.9877049922943</v>
      </c>
      <c r="B130" s="11" t="n">
        <v>200</v>
      </c>
      <c r="C130" s="12" t="n">
        <f aca="false">B130*'Correction factors'!$B$7</f>
        <v>967.8</v>
      </c>
      <c r="D130" s="13" t="n">
        <v>5.910797</v>
      </c>
      <c r="E130" s="14" t="n">
        <v>64</v>
      </c>
      <c r="F130" s="10" t="n">
        <f aca="false">E130/'Correction factors'!$B$10</f>
        <v>5.1616</v>
      </c>
      <c r="G130" s="11" t="n">
        <v>333</v>
      </c>
    </row>
    <row r="131" customFormat="false" ht="15" hidden="false" customHeight="false" outlineLevel="0" collapsed="false">
      <c r="A131" s="10" t="n">
        <v>27.9877049922943</v>
      </c>
      <c r="B131" s="11" t="n">
        <v>180</v>
      </c>
      <c r="C131" s="12" t="n">
        <f aca="false">B131*'Correction factors'!$B$7</f>
        <v>871.02</v>
      </c>
      <c r="D131" s="13" t="n">
        <v>5.891154</v>
      </c>
      <c r="E131" s="14" t="n">
        <v>56</v>
      </c>
      <c r="F131" s="10" t="n">
        <f aca="false">E131/'Correction factors'!$B$10</f>
        <v>4.5164</v>
      </c>
      <c r="G131" s="11" t="n">
        <v>332</v>
      </c>
    </row>
    <row r="132" customFormat="false" ht="15" hidden="false" customHeight="false" outlineLevel="0" collapsed="false">
      <c r="A132" s="10" t="n">
        <v>28.4069578647614</v>
      </c>
      <c r="B132" s="11" t="n">
        <v>200</v>
      </c>
      <c r="C132" s="12" t="n">
        <f aca="false">B132*'Correction factors'!$B$7</f>
        <v>967.8</v>
      </c>
      <c r="D132" s="13" t="n">
        <v>5.881333</v>
      </c>
      <c r="E132" s="14" t="n">
        <v>64</v>
      </c>
      <c r="F132" s="10" t="n">
        <f aca="false">E132/'Correction factors'!$B$10</f>
        <v>5.1616</v>
      </c>
      <c r="G132" s="11" t="n">
        <v>335</v>
      </c>
    </row>
    <row r="133" customFormat="false" ht="15" hidden="false" customHeight="false" outlineLevel="0" collapsed="false">
      <c r="A133" s="10" t="n">
        <v>28.4069578647614</v>
      </c>
      <c r="B133" s="11" t="n">
        <v>180</v>
      </c>
      <c r="C133" s="12" t="n">
        <f aca="false">B133*'Correction factors'!$B$7</f>
        <v>871.02</v>
      </c>
      <c r="D133" s="13" t="n">
        <v>5.851868</v>
      </c>
      <c r="E133" s="14" t="n">
        <v>64</v>
      </c>
      <c r="F133" s="10" t="n">
        <f aca="false">E133/'Correction factors'!$B$10</f>
        <v>5.1616</v>
      </c>
      <c r="G133" s="11" t="n">
        <v>335</v>
      </c>
    </row>
    <row r="134" customFormat="false" ht="15" hidden="false" customHeight="false" outlineLevel="0" collapsed="false">
      <c r="A134" s="10" t="n">
        <v>28.820573091507</v>
      </c>
      <c r="B134" s="11" t="n">
        <v>180</v>
      </c>
      <c r="C134" s="12" t="n">
        <f aca="false">B134*'Correction factors'!$B$7</f>
        <v>871.02</v>
      </c>
      <c r="D134" s="13" t="n">
        <v>5.851868</v>
      </c>
      <c r="E134" s="14" t="n">
        <v>56</v>
      </c>
      <c r="F134" s="10" t="n">
        <f aca="false">E134/'Correction factors'!$B$10</f>
        <v>4.5164</v>
      </c>
      <c r="G134" s="11" t="n">
        <v>335</v>
      </c>
    </row>
    <row r="135" customFormat="false" ht="15" hidden="false" customHeight="false" outlineLevel="0" collapsed="false">
      <c r="A135" s="10" t="n">
        <v>28.820573091507</v>
      </c>
      <c r="B135" s="11" t="n">
        <v>180</v>
      </c>
      <c r="C135" s="12" t="n">
        <f aca="false">B135*'Correction factors'!$B$7</f>
        <v>871.02</v>
      </c>
      <c r="D135" s="13" t="n">
        <v>5.822403</v>
      </c>
      <c r="E135" s="14" t="n">
        <v>64</v>
      </c>
      <c r="F135" s="10" t="n">
        <f aca="false">E135/'Correction factors'!$B$10</f>
        <v>5.1616</v>
      </c>
      <c r="G135" s="11" t="n">
        <v>335</v>
      </c>
    </row>
    <row r="136" customFormat="false" ht="15" hidden="false" customHeight="false" outlineLevel="0" collapsed="false">
      <c r="A136" s="10" t="n">
        <v>29.2709648609161</v>
      </c>
      <c r="B136" s="11" t="n">
        <v>180</v>
      </c>
      <c r="C136" s="12" t="n">
        <f aca="false">B136*'Correction factors'!$B$7</f>
        <v>871.02</v>
      </c>
      <c r="D136" s="13" t="n">
        <v>5.822403</v>
      </c>
      <c r="E136" s="14" t="n">
        <v>56</v>
      </c>
      <c r="F136" s="10" t="n">
        <f aca="false">E136/'Correction factors'!$B$10</f>
        <v>4.5164</v>
      </c>
      <c r="G136" s="11" t="n">
        <v>336</v>
      </c>
    </row>
    <row r="137" customFormat="false" ht="15" hidden="false" customHeight="false" outlineLevel="0" collapsed="false">
      <c r="A137" s="10" t="n">
        <v>29.2709648609161</v>
      </c>
      <c r="B137" s="11" t="n">
        <v>180</v>
      </c>
      <c r="C137" s="12" t="n">
        <f aca="false">B137*'Correction factors'!$B$7</f>
        <v>871.02</v>
      </c>
      <c r="D137" s="13" t="n">
        <v>5.792939</v>
      </c>
      <c r="E137" s="14" t="n">
        <v>64</v>
      </c>
      <c r="F137" s="10" t="n">
        <f aca="false">E137/'Correction factors'!$B$10</f>
        <v>5.1616</v>
      </c>
      <c r="G137" s="11" t="n">
        <v>336</v>
      </c>
    </row>
    <row r="138" customFormat="false" ht="15" hidden="false" customHeight="false" outlineLevel="0" collapsed="false">
      <c r="A138" s="10" t="n">
        <v>29.6800448894501</v>
      </c>
      <c r="B138" s="11" t="n">
        <v>180</v>
      </c>
      <c r="C138" s="12" t="n">
        <f aca="false">B138*'Correction factors'!$B$7</f>
        <v>871.02</v>
      </c>
      <c r="D138" s="13" t="n">
        <v>5.773295</v>
      </c>
      <c r="E138" s="14" t="n">
        <v>56</v>
      </c>
      <c r="F138" s="10" t="n">
        <f aca="false">E138/'Correction factors'!$B$10</f>
        <v>4.5164</v>
      </c>
      <c r="G138" s="11" t="n">
        <v>337</v>
      </c>
    </row>
    <row r="139" customFormat="false" ht="15" hidden="false" customHeight="false" outlineLevel="0" collapsed="false">
      <c r="A139" s="10" t="n">
        <v>29.6800448894501</v>
      </c>
      <c r="B139" s="11" t="n">
        <v>180</v>
      </c>
      <c r="C139" s="12" t="n">
        <f aca="false">B139*'Correction factors'!$B$7</f>
        <v>871.02</v>
      </c>
      <c r="D139" s="13" t="n">
        <v>5.753652</v>
      </c>
      <c r="E139" s="14" t="n">
        <v>64</v>
      </c>
      <c r="F139" s="10" t="n">
        <f aca="false">E139/'Correction factors'!$B$10</f>
        <v>5.1616</v>
      </c>
      <c r="G139" s="11" t="n">
        <v>337</v>
      </c>
    </row>
    <row r="140" customFormat="false" ht="15" hidden="false" customHeight="false" outlineLevel="0" collapsed="false">
      <c r="A140" s="10" t="n">
        <v>30.09490275383</v>
      </c>
      <c r="B140" s="11" t="n">
        <v>180</v>
      </c>
      <c r="C140" s="12" t="n">
        <f aca="false">B140*'Correction factors'!$B$7</f>
        <v>871.02</v>
      </c>
      <c r="D140" s="13" t="n">
        <v>5.74383</v>
      </c>
      <c r="E140" s="14" t="n">
        <v>64</v>
      </c>
      <c r="F140" s="10" t="n">
        <f aca="false">E140/'Correction factors'!$B$10</f>
        <v>5.1616</v>
      </c>
      <c r="G140" s="11" t="n">
        <v>340</v>
      </c>
    </row>
    <row r="141" customFormat="false" ht="15" hidden="false" customHeight="false" outlineLevel="0" collapsed="false">
      <c r="A141" s="10" t="n">
        <v>30.09490275383</v>
      </c>
      <c r="B141" s="11" t="n">
        <v>180</v>
      </c>
      <c r="C141" s="12" t="n">
        <f aca="false">B141*'Correction factors'!$B$7</f>
        <v>871.02</v>
      </c>
      <c r="D141" s="13" t="n">
        <v>5.714366</v>
      </c>
      <c r="E141" s="14" t="n">
        <v>56</v>
      </c>
      <c r="F141" s="10" t="n">
        <f aca="false">E141/'Correction factors'!$B$10</f>
        <v>4.5164</v>
      </c>
      <c r="G141" s="11" t="n">
        <v>339</v>
      </c>
    </row>
    <row r="142" customFormat="false" ht="15" hidden="false" customHeight="false" outlineLevel="0" collapsed="false">
      <c r="A142" s="10" t="n">
        <v>30.5335099697113</v>
      </c>
      <c r="B142" s="11" t="n">
        <v>180</v>
      </c>
      <c r="C142" s="12" t="n">
        <f aca="false">B142*'Correction factors'!$B$7</f>
        <v>871.02</v>
      </c>
      <c r="D142" s="13" t="n">
        <v>5.704544</v>
      </c>
      <c r="E142" s="14" t="n">
        <v>56</v>
      </c>
      <c r="F142" s="10" t="n">
        <f aca="false">E142/'Correction factors'!$B$10</f>
        <v>4.5164</v>
      </c>
      <c r="G142" s="11" t="n">
        <v>340</v>
      </c>
    </row>
    <row r="143" customFormat="false" ht="15" hidden="false" customHeight="false" outlineLevel="0" collapsed="false">
      <c r="A143" s="10" t="n">
        <v>30.5335099697113</v>
      </c>
      <c r="B143" s="11" t="n">
        <v>200</v>
      </c>
      <c r="C143" s="12" t="n">
        <f aca="false">B143*'Correction factors'!$B$7</f>
        <v>967.8</v>
      </c>
      <c r="D143" s="13" t="n">
        <v>5.694722</v>
      </c>
      <c r="E143" s="14" t="n">
        <v>72</v>
      </c>
      <c r="F143" s="10" t="n">
        <f aca="false">E143/'Correction factors'!$B$10</f>
        <v>5.8068</v>
      </c>
      <c r="G143" s="11" t="n">
        <v>340</v>
      </c>
    </row>
    <row r="144" customFormat="false" ht="15" hidden="false" customHeight="false" outlineLevel="0" collapsed="false">
      <c r="A144" s="10" t="n">
        <v>30.9663298130035</v>
      </c>
      <c r="B144" s="11" t="n">
        <v>180</v>
      </c>
      <c r="C144" s="12" t="n">
        <f aca="false">B144*'Correction factors'!$B$7</f>
        <v>871.02</v>
      </c>
      <c r="D144" s="13" t="n">
        <v>5.675079</v>
      </c>
      <c r="E144" s="14" t="n">
        <v>56</v>
      </c>
      <c r="F144" s="10" t="n">
        <f aca="false">E144/'Correction factors'!$B$10</f>
        <v>4.5164</v>
      </c>
      <c r="G144" s="11" t="n">
        <v>340</v>
      </c>
    </row>
    <row r="145" customFormat="false" ht="15" hidden="false" customHeight="false" outlineLevel="0" collapsed="false">
      <c r="A145" s="10" t="n">
        <v>30.9663298130035</v>
      </c>
      <c r="B145" s="11" t="n">
        <v>160</v>
      </c>
      <c r="C145" s="12" t="n">
        <f aca="false">B145*'Correction factors'!$B$7</f>
        <v>774.24</v>
      </c>
      <c r="D145" s="13" t="n">
        <v>5.655436</v>
      </c>
      <c r="E145" s="14" t="n">
        <v>64</v>
      </c>
      <c r="F145" s="10" t="n">
        <f aca="false">E145/'Correction factors'!$B$10</f>
        <v>5.1616</v>
      </c>
      <c r="G145" s="11" t="n">
        <v>341</v>
      </c>
    </row>
    <row r="146" customFormat="false" ht="15" hidden="false" customHeight="false" outlineLevel="0" collapsed="false">
      <c r="A146" s="10" t="n">
        <v>31.394412279129</v>
      </c>
      <c r="B146" s="11" t="n">
        <v>160</v>
      </c>
      <c r="C146" s="12" t="n">
        <f aca="false">B146*'Correction factors'!$B$7</f>
        <v>774.24</v>
      </c>
      <c r="D146" s="13" t="n">
        <v>5.645614</v>
      </c>
      <c r="E146" s="14" t="n">
        <v>56</v>
      </c>
      <c r="F146" s="10" t="n">
        <f aca="false">E146/'Correction factors'!$B$10</f>
        <v>4.5164</v>
      </c>
      <c r="G146" s="11" t="n">
        <v>347</v>
      </c>
    </row>
    <row r="147" customFormat="false" ht="15" hidden="false" customHeight="false" outlineLevel="0" collapsed="false">
      <c r="A147" s="10" t="n">
        <v>31.394412279129</v>
      </c>
      <c r="B147" s="11" t="n">
        <v>160</v>
      </c>
      <c r="C147" s="12" t="n">
        <f aca="false">B147*'Correction factors'!$B$7</f>
        <v>774.24</v>
      </c>
      <c r="D147" s="13" t="n">
        <v>5.635793</v>
      </c>
      <c r="E147" s="14" t="n">
        <v>64</v>
      </c>
      <c r="F147" s="10" t="n">
        <f aca="false">E147/'Correction factors'!$B$10</f>
        <v>5.1616</v>
      </c>
      <c r="G147" s="11" t="n">
        <v>348</v>
      </c>
    </row>
    <row r="148" customFormat="false" ht="15" hidden="false" customHeight="false" outlineLevel="0" collapsed="false">
      <c r="A148" s="10" t="n">
        <v>31.8273987770081</v>
      </c>
      <c r="B148" s="11" t="n">
        <v>180</v>
      </c>
      <c r="C148" s="12" t="n">
        <f aca="false">B148*'Correction factors'!$B$7</f>
        <v>871.02</v>
      </c>
      <c r="D148" s="13" t="n">
        <v>5.635793</v>
      </c>
      <c r="E148" s="14" t="n">
        <v>56</v>
      </c>
      <c r="F148" s="10" t="n">
        <f aca="false">E148/'Correction factors'!$B$10</f>
        <v>4.5164</v>
      </c>
      <c r="G148" s="11" t="n">
        <v>349</v>
      </c>
    </row>
    <row r="149" customFormat="false" ht="15" hidden="false" customHeight="false" outlineLevel="0" collapsed="false">
      <c r="A149" s="10" t="n">
        <v>31.8273987770081</v>
      </c>
      <c r="B149" s="11" t="n">
        <v>180</v>
      </c>
      <c r="C149" s="12" t="n">
        <f aca="false">B149*'Correction factors'!$B$7</f>
        <v>871.02</v>
      </c>
      <c r="D149" s="13" t="n">
        <v>5.61615</v>
      </c>
      <c r="E149" s="14" t="n">
        <v>64</v>
      </c>
      <c r="F149" s="10" t="n">
        <f aca="false">E149/'Correction factors'!$B$10</f>
        <v>5.1616</v>
      </c>
      <c r="G149" s="11" t="n">
        <v>349</v>
      </c>
    </row>
    <row r="150" customFormat="false" ht="15" hidden="false" customHeight="false" outlineLevel="0" collapsed="false">
      <c r="A150" s="10" t="n">
        <v>32.2597994804382</v>
      </c>
      <c r="B150" s="11" t="n">
        <v>160</v>
      </c>
      <c r="C150" s="12" t="n">
        <f aca="false">B150*'Correction factors'!$B$7</f>
        <v>774.24</v>
      </c>
      <c r="D150" s="13" t="n">
        <v>5.606328</v>
      </c>
      <c r="E150" s="14" t="n">
        <v>56</v>
      </c>
      <c r="F150" s="10" t="n">
        <f aca="false">E150/'Correction factors'!$B$10</f>
        <v>4.5164</v>
      </c>
      <c r="G150" s="11" t="n">
        <v>349</v>
      </c>
    </row>
    <row r="151" customFormat="false" ht="15" hidden="false" customHeight="false" outlineLevel="0" collapsed="false">
      <c r="A151" s="10" t="n">
        <v>32.2597994804382</v>
      </c>
      <c r="B151" s="11" t="n">
        <v>160</v>
      </c>
      <c r="C151" s="12" t="n">
        <f aca="false">B151*'Correction factors'!$B$7</f>
        <v>774.24</v>
      </c>
      <c r="D151" s="13" t="n">
        <v>5.606328</v>
      </c>
      <c r="E151" s="14" t="n">
        <v>56</v>
      </c>
      <c r="F151" s="10" t="n">
        <f aca="false">E151/'Correction factors'!$B$10</f>
        <v>4.5164</v>
      </c>
      <c r="G151" s="11" t="n">
        <v>349</v>
      </c>
    </row>
    <row r="152" customFormat="false" ht="15" hidden="false" customHeight="false" outlineLevel="0" collapsed="false">
      <c r="A152" s="10" t="n">
        <v>32.2597994804382</v>
      </c>
      <c r="B152" s="11" t="n">
        <v>180</v>
      </c>
      <c r="C152" s="12" t="n">
        <f aca="false">B152*'Correction factors'!$B$7</f>
        <v>871.02</v>
      </c>
      <c r="D152" s="13" t="n">
        <v>5.596507</v>
      </c>
      <c r="E152" s="14" t="n">
        <v>64</v>
      </c>
      <c r="F152" s="10" t="n">
        <f aca="false">E152/'Correction factors'!$B$10</f>
        <v>5.1616</v>
      </c>
      <c r="G152" s="11" t="n">
        <v>351</v>
      </c>
    </row>
    <row r="153" customFormat="false" ht="15" hidden="false" customHeight="false" outlineLevel="0" collapsed="false">
      <c r="A153" s="10" t="n">
        <v>32.7534422874451</v>
      </c>
      <c r="B153" s="11" t="n">
        <v>160</v>
      </c>
      <c r="C153" s="12" t="n">
        <f aca="false">B153*'Correction factors'!$B$7</f>
        <v>774.24</v>
      </c>
      <c r="D153" s="13" t="n">
        <v>5.596507</v>
      </c>
      <c r="E153" s="14" t="n">
        <v>56</v>
      </c>
      <c r="F153" s="10" t="n">
        <f aca="false">E153/'Correction factors'!$B$10</f>
        <v>4.5164</v>
      </c>
      <c r="G153" s="11" t="n">
        <v>351</v>
      </c>
    </row>
    <row r="154" customFormat="false" ht="15" hidden="false" customHeight="false" outlineLevel="0" collapsed="false">
      <c r="A154" s="10" t="n">
        <v>32.7534422874451</v>
      </c>
      <c r="B154" s="11" t="n">
        <v>160</v>
      </c>
      <c r="C154" s="12" t="n">
        <f aca="false">B154*'Correction factors'!$B$7</f>
        <v>774.24</v>
      </c>
      <c r="D154" s="13" t="n">
        <v>5.586685</v>
      </c>
      <c r="E154" s="14" t="n">
        <v>64</v>
      </c>
      <c r="F154" s="10" t="n">
        <f aca="false">E154/'Correction factors'!$B$10</f>
        <v>5.1616</v>
      </c>
      <c r="G154" s="11" t="n">
        <v>352</v>
      </c>
    </row>
    <row r="155" customFormat="false" ht="15" hidden="false" customHeight="false" outlineLevel="0" collapsed="false">
      <c r="A155" s="10" t="n">
        <v>33.1875245571137</v>
      </c>
      <c r="B155" s="11" t="n">
        <v>180</v>
      </c>
      <c r="C155" s="12" t="n">
        <f aca="false">B155*'Correction factors'!$B$7</f>
        <v>871.02</v>
      </c>
      <c r="D155" s="13" t="n">
        <v>5.586685</v>
      </c>
      <c r="E155" s="14" t="n">
        <v>56</v>
      </c>
      <c r="F155" s="10" t="n">
        <f aca="false">E155/'Correction factors'!$B$10</f>
        <v>4.5164</v>
      </c>
      <c r="G155" s="11" t="n">
        <v>355</v>
      </c>
    </row>
    <row r="156" customFormat="false" ht="15" hidden="false" customHeight="false" outlineLevel="0" collapsed="false">
      <c r="A156" s="10" t="n">
        <v>33.1875245571137</v>
      </c>
      <c r="B156" s="11" t="n">
        <v>180</v>
      </c>
      <c r="C156" s="12" t="n">
        <f aca="false">B156*'Correction factors'!$B$7</f>
        <v>871.02</v>
      </c>
      <c r="D156" s="13" t="n">
        <v>5.576863</v>
      </c>
      <c r="E156" s="14" t="n">
        <v>64</v>
      </c>
      <c r="F156" s="10" t="n">
        <f aca="false">E156/'Correction factors'!$B$10</f>
        <v>5.1616</v>
      </c>
      <c r="G156" s="11" t="n">
        <v>355</v>
      </c>
    </row>
    <row r="157" customFormat="false" ht="15" hidden="false" customHeight="false" outlineLevel="0" collapsed="false">
      <c r="A157" s="10" t="n">
        <v>33.6557011604309</v>
      </c>
      <c r="B157" s="11" t="n">
        <v>180</v>
      </c>
      <c r="C157" s="12" t="n">
        <f aca="false">B157*'Correction factors'!$B$7</f>
        <v>871.02</v>
      </c>
      <c r="D157" s="13" t="n">
        <v>5.576863</v>
      </c>
      <c r="E157" s="14" t="n">
        <v>64</v>
      </c>
      <c r="F157" s="10" t="n">
        <f aca="false">E157/'Correction factors'!$B$10</f>
        <v>5.1616</v>
      </c>
      <c r="G157" s="11" t="n">
        <v>355</v>
      </c>
    </row>
    <row r="158" customFormat="false" ht="15" hidden="false" customHeight="false" outlineLevel="0" collapsed="false">
      <c r="A158" s="10" t="n">
        <v>33.6557011604309</v>
      </c>
      <c r="B158" s="11" t="n">
        <v>180</v>
      </c>
      <c r="C158" s="12" t="n">
        <f aca="false">B158*'Correction factors'!$B$7</f>
        <v>871.02</v>
      </c>
      <c r="D158" s="13" t="n">
        <v>5.567041</v>
      </c>
      <c r="E158" s="14" t="n">
        <v>64</v>
      </c>
      <c r="F158" s="10" t="n">
        <f aca="false">E158/'Correction factors'!$B$10</f>
        <v>5.1616</v>
      </c>
      <c r="G158" s="11" t="n">
        <v>355</v>
      </c>
    </row>
    <row r="159" customFormat="false" ht="15" hidden="false" customHeight="false" outlineLevel="0" collapsed="false">
      <c r="A159" s="10" t="n">
        <v>34.0959961414337</v>
      </c>
      <c r="B159" s="11" t="n">
        <v>180</v>
      </c>
      <c r="C159" s="12" t="n">
        <f aca="false">B159*'Correction factors'!$B$7</f>
        <v>871.02</v>
      </c>
      <c r="D159" s="13" t="n">
        <v>5.567041</v>
      </c>
      <c r="E159" s="14" t="n">
        <v>64</v>
      </c>
      <c r="F159" s="10" t="n">
        <f aca="false">E159/'Correction factors'!$B$10</f>
        <v>5.1616</v>
      </c>
      <c r="G159" s="11" t="n">
        <v>355</v>
      </c>
    </row>
    <row r="160" customFormat="false" ht="15" hidden="false" customHeight="false" outlineLevel="0" collapsed="false">
      <c r="A160" s="10" t="n">
        <v>34.0959961414337</v>
      </c>
      <c r="B160" s="11" t="n">
        <v>180</v>
      </c>
      <c r="C160" s="12" t="n">
        <f aca="false">B160*'Correction factors'!$B$7</f>
        <v>871.02</v>
      </c>
      <c r="D160" s="13" t="n">
        <v>5.55722</v>
      </c>
      <c r="E160" s="14" t="n">
        <v>72</v>
      </c>
      <c r="F160" s="10" t="n">
        <f aca="false">E160/'Correction factors'!$B$10</f>
        <v>5.8068</v>
      </c>
      <c r="G160" s="11" t="n">
        <v>355</v>
      </c>
    </row>
    <row r="161" customFormat="false" ht="15" hidden="false" customHeight="false" outlineLevel="0" collapsed="false">
      <c r="A161" s="10" t="n">
        <v>34.5284948348999</v>
      </c>
      <c r="B161" s="11" t="n">
        <v>180</v>
      </c>
      <c r="C161" s="12" t="n">
        <f aca="false">B161*'Correction factors'!$B$7</f>
        <v>871.02</v>
      </c>
      <c r="D161" s="13" t="n">
        <v>5.547399</v>
      </c>
      <c r="E161" s="14" t="n">
        <v>64</v>
      </c>
      <c r="F161" s="10" t="n">
        <f aca="false">E161/'Correction factors'!$B$10</f>
        <v>5.1616</v>
      </c>
      <c r="G161" s="11" t="n">
        <v>356</v>
      </c>
    </row>
    <row r="162" customFormat="false" ht="15" hidden="false" customHeight="false" outlineLevel="0" collapsed="false">
      <c r="A162" s="10" t="n">
        <v>34.5284948348999</v>
      </c>
      <c r="B162" s="11" t="n">
        <v>180</v>
      </c>
      <c r="C162" s="12" t="n">
        <f aca="false">B162*'Correction factors'!$B$7</f>
        <v>871.02</v>
      </c>
      <c r="D162" s="13" t="n">
        <v>5.537577</v>
      </c>
      <c r="E162" s="14" t="n">
        <v>64</v>
      </c>
      <c r="F162" s="10" t="n">
        <f aca="false">E162/'Correction factors'!$B$10</f>
        <v>5.1616</v>
      </c>
      <c r="G162" s="11" t="n">
        <v>356</v>
      </c>
    </row>
    <row r="163" customFormat="false" ht="15" hidden="false" customHeight="false" outlineLevel="0" collapsed="false">
      <c r="A163" s="10" t="n">
        <v>34.5284948348999</v>
      </c>
      <c r="B163" s="11" t="n">
        <v>180</v>
      </c>
      <c r="C163" s="12" t="n">
        <f aca="false">B163*'Correction factors'!$B$7</f>
        <v>871.02</v>
      </c>
      <c r="D163" s="13" t="n">
        <v>5.537577</v>
      </c>
      <c r="E163" s="14" t="n">
        <v>64</v>
      </c>
      <c r="F163" s="10" t="n">
        <f aca="false">E163/'Correction factors'!$B$10</f>
        <v>5.1616</v>
      </c>
      <c r="G163" s="11" t="n">
        <v>356</v>
      </c>
    </row>
    <row r="164" customFormat="false" ht="15" hidden="false" customHeight="false" outlineLevel="0" collapsed="false">
      <c r="A164" s="10" t="n">
        <v>35.0305488109589</v>
      </c>
      <c r="B164" s="11" t="n">
        <v>180</v>
      </c>
      <c r="C164" s="12" t="n">
        <f aca="false">B164*'Correction factors'!$B$7</f>
        <v>871.02</v>
      </c>
      <c r="D164" s="13" t="n">
        <v>5.537577</v>
      </c>
      <c r="E164" s="14" t="n">
        <v>64</v>
      </c>
      <c r="F164" s="10" t="n">
        <f aca="false">E164/'Correction factors'!$B$10</f>
        <v>5.1616</v>
      </c>
      <c r="G164" s="11" t="n">
        <v>357</v>
      </c>
    </row>
    <row r="165" customFormat="false" ht="15" hidden="false" customHeight="false" outlineLevel="0" collapsed="false">
      <c r="A165" s="10" t="n">
        <v>35.0305488109589</v>
      </c>
      <c r="B165" s="11" t="n">
        <v>200</v>
      </c>
      <c r="C165" s="12" t="n">
        <f aca="false">B165*'Correction factors'!$B$7</f>
        <v>967.8</v>
      </c>
      <c r="D165" s="13" t="n">
        <v>5.517933</v>
      </c>
      <c r="E165" s="14" t="n">
        <v>72</v>
      </c>
      <c r="F165" s="10" t="n">
        <f aca="false">E165/'Correction factors'!$B$10</f>
        <v>5.8068</v>
      </c>
      <c r="G165" s="11" t="n">
        <v>357</v>
      </c>
    </row>
    <row r="166" customFormat="false" ht="15" hidden="false" customHeight="false" outlineLevel="0" collapsed="false">
      <c r="A166" s="10" t="n">
        <v>35.4762310981751</v>
      </c>
      <c r="B166" s="11" t="n">
        <v>200</v>
      </c>
      <c r="C166" s="12" t="n">
        <f aca="false">B166*'Correction factors'!$B$7</f>
        <v>967.8</v>
      </c>
      <c r="D166" s="13" t="n">
        <v>5.517933</v>
      </c>
      <c r="E166" s="14" t="n">
        <v>72</v>
      </c>
      <c r="F166" s="10" t="n">
        <f aca="false">E166/'Correction factors'!$B$10</f>
        <v>5.8068</v>
      </c>
      <c r="G166" s="11" t="n">
        <v>357</v>
      </c>
    </row>
    <row r="167" customFormat="false" ht="15" hidden="false" customHeight="false" outlineLevel="0" collapsed="false">
      <c r="A167" s="10" t="n">
        <v>35.4762310981751</v>
      </c>
      <c r="B167" s="11" t="n">
        <v>180</v>
      </c>
      <c r="C167" s="12" t="n">
        <f aca="false">B167*'Correction factors'!$B$7</f>
        <v>871.02</v>
      </c>
      <c r="D167" s="13" t="n">
        <v>5.498291</v>
      </c>
      <c r="E167" s="14" t="n">
        <v>72</v>
      </c>
      <c r="F167" s="10" t="n">
        <f aca="false">E167/'Correction factors'!$B$10</f>
        <v>5.8068</v>
      </c>
      <c r="G167" s="11" t="n">
        <v>357</v>
      </c>
    </row>
    <row r="168" customFormat="false" ht="15" hidden="false" customHeight="false" outlineLevel="0" collapsed="false">
      <c r="A168" s="10" t="n">
        <v>35.9274895191193</v>
      </c>
      <c r="B168" s="11" t="n">
        <v>180</v>
      </c>
      <c r="C168" s="12" t="n">
        <f aca="false">B168*'Correction factors'!$B$7</f>
        <v>871.02</v>
      </c>
      <c r="D168" s="13" t="n">
        <v>5.498291</v>
      </c>
      <c r="E168" s="14" t="n">
        <v>72</v>
      </c>
      <c r="F168" s="10" t="n">
        <f aca="false">E168/'Correction factors'!$B$10</f>
        <v>5.8068</v>
      </c>
      <c r="G168" s="11" t="n">
        <v>358</v>
      </c>
    </row>
    <row r="169" customFormat="false" ht="15" hidden="false" customHeight="false" outlineLevel="0" collapsed="false">
      <c r="A169" s="10" t="n">
        <v>35.9274895191193</v>
      </c>
      <c r="B169" s="11" t="n">
        <v>200</v>
      </c>
      <c r="C169" s="12" t="n">
        <f aca="false">B169*'Correction factors'!$B$7</f>
        <v>967.8</v>
      </c>
      <c r="D169" s="13" t="n">
        <v>5.488469</v>
      </c>
      <c r="E169" s="14" t="n">
        <v>72</v>
      </c>
      <c r="F169" s="10" t="n">
        <f aca="false">E169/'Correction factors'!$B$10</f>
        <v>5.8068</v>
      </c>
      <c r="G169" s="11" t="n">
        <v>358</v>
      </c>
    </row>
    <row r="170" customFormat="false" ht="15" hidden="false" customHeight="false" outlineLevel="0" collapsed="false">
      <c r="A170" s="10" t="n">
        <v>36.3918588161469</v>
      </c>
      <c r="B170" s="11" t="n">
        <v>200</v>
      </c>
      <c r="C170" s="12" t="n">
        <f aca="false">B170*'Correction factors'!$B$7</f>
        <v>967.8</v>
      </c>
      <c r="D170" s="13" t="n">
        <v>5.478647</v>
      </c>
      <c r="E170" s="14" t="n">
        <v>72</v>
      </c>
      <c r="F170" s="10" t="n">
        <f aca="false">E170/'Correction factors'!$B$10</f>
        <v>5.8068</v>
      </c>
      <c r="G170" s="11" t="n">
        <v>357</v>
      </c>
    </row>
    <row r="171" customFormat="false" ht="15" hidden="false" customHeight="false" outlineLevel="0" collapsed="false">
      <c r="A171" s="10" t="n">
        <v>36.3918588161469</v>
      </c>
      <c r="B171" s="11" t="n">
        <v>200</v>
      </c>
      <c r="C171" s="12" t="n">
        <f aca="false">B171*'Correction factors'!$B$7</f>
        <v>967.8</v>
      </c>
      <c r="D171" s="13" t="n">
        <v>5.468826</v>
      </c>
      <c r="E171" s="14" t="n">
        <v>72</v>
      </c>
      <c r="F171" s="10" t="n">
        <f aca="false">E171/'Correction factors'!$B$10</f>
        <v>5.8068</v>
      </c>
      <c r="G171" s="11" t="n">
        <v>357</v>
      </c>
    </row>
    <row r="172" customFormat="false" ht="15" hidden="false" customHeight="false" outlineLevel="0" collapsed="false">
      <c r="A172" s="10" t="n">
        <v>36.3918588161469</v>
      </c>
      <c r="B172" s="11" t="n">
        <v>200</v>
      </c>
      <c r="C172" s="12" t="n">
        <f aca="false">B172*'Correction factors'!$B$7</f>
        <v>967.8</v>
      </c>
      <c r="D172" s="13" t="n">
        <v>5.468826</v>
      </c>
      <c r="E172" s="14" t="n">
        <v>72</v>
      </c>
      <c r="F172" s="10" t="n">
        <f aca="false">E172/'Correction factors'!$B$10</f>
        <v>5.8068</v>
      </c>
      <c r="G172" s="11" t="n">
        <v>357</v>
      </c>
    </row>
    <row r="173" customFormat="false" ht="15" hidden="false" customHeight="false" outlineLevel="0" collapsed="false">
      <c r="A173" s="10" t="n">
        <v>36.8951008319855</v>
      </c>
      <c r="B173" s="11" t="n">
        <v>200</v>
      </c>
      <c r="C173" s="12" t="n">
        <f aca="false">B173*'Correction factors'!$B$7</f>
        <v>967.8</v>
      </c>
      <c r="D173" s="13" t="n">
        <v>5.459004</v>
      </c>
      <c r="E173" s="14" t="n">
        <v>72</v>
      </c>
      <c r="F173" s="10" t="n">
        <f aca="false">E173/'Correction factors'!$B$10</f>
        <v>5.8068</v>
      </c>
      <c r="G173" s="11" t="n">
        <v>357</v>
      </c>
    </row>
    <row r="174" customFormat="false" ht="15" hidden="false" customHeight="false" outlineLevel="0" collapsed="false">
      <c r="A174" s="10" t="n">
        <v>36.8951008319855</v>
      </c>
      <c r="B174" s="11" t="n">
        <v>200</v>
      </c>
      <c r="C174" s="12" t="n">
        <f aca="false">B174*'Correction factors'!$B$7</f>
        <v>967.8</v>
      </c>
      <c r="D174" s="13" t="n">
        <v>5.449183</v>
      </c>
      <c r="E174" s="14" t="n">
        <v>72</v>
      </c>
      <c r="F174" s="10" t="n">
        <f aca="false">E174/'Correction factors'!$B$10</f>
        <v>5.8068</v>
      </c>
      <c r="G174" s="11" t="n">
        <v>357</v>
      </c>
    </row>
    <row r="175" customFormat="false" ht="15" hidden="false" customHeight="false" outlineLevel="0" collapsed="false">
      <c r="A175" s="10" t="n">
        <v>37.3560116291046</v>
      </c>
      <c r="B175" s="11" t="n">
        <v>200</v>
      </c>
      <c r="C175" s="12" t="n">
        <f aca="false">B175*'Correction factors'!$B$7</f>
        <v>967.8</v>
      </c>
      <c r="D175" s="13" t="n">
        <v>5.439361</v>
      </c>
      <c r="E175" s="14" t="n">
        <v>72</v>
      </c>
      <c r="F175" s="10" t="n">
        <f aca="false">E175/'Correction factors'!$B$10</f>
        <v>5.8068</v>
      </c>
      <c r="G175" s="11" t="n">
        <v>357</v>
      </c>
    </row>
    <row r="176" customFormat="false" ht="15" hidden="false" customHeight="false" outlineLevel="0" collapsed="false">
      <c r="A176" s="10" t="n">
        <v>37.3560116291046</v>
      </c>
      <c r="B176" s="11" t="n">
        <v>180</v>
      </c>
      <c r="C176" s="12" t="n">
        <f aca="false">B176*'Correction factors'!$B$7</f>
        <v>871.02</v>
      </c>
      <c r="D176" s="13" t="n">
        <v>5.439361</v>
      </c>
      <c r="E176" s="14" t="n">
        <v>72</v>
      </c>
      <c r="F176" s="10" t="n">
        <f aca="false">E176/'Correction factors'!$B$10</f>
        <v>5.8068</v>
      </c>
      <c r="G176" s="11" t="n">
        <v>357</v>
      </c>
    </row>
    <row r="177" customFormat="false" ht="15" hidden="false" customHeight="false" outlineLevel="0" collapsed="false">
      <c r="A177" s="10" t="n">
        <v>37.8465821743012</v>
      </c>
      <c r="B177" s="11" t="n">
        <v>200</v>
      </c>
      <c r="C177" s="12" t="n">
        <f aca="false">B177*'Correction factors'!$B$7</f>
        <v>967.8</v>
      </c>
      <c r="D177" s="13" t="n">
        <v>5.439361</v>
      </c>
      <c r="E177" s="14" t="n">
        <v>72</v>
      </c>
      <c r="F177" s="10" t="n">
        <f aca="false">E177/'Correction factors'!$B$10</f>
        <v>5.8068</v>
      </c>
      <c r="G177" s="11" t="n">
        <v>358</v>
      </c>
    </row>
    <row r="178" customFormat="false" ht="15" hidden="false" customHeight="false" outlineLevel="0" collapsed="false">
      <c r="A178" s="10" t="n">
        <v>37.8465821743012</v>
      </c>
      <c r="B178" s="11" t="n">
        <v>200</v>
      </c>
      <c r="C178" s="12" t="n">
        <f aca="false">B178*'Correction factors'!$B$7</f>
        <v>967.8</v>
      </c>
      <c r="D178" s="13" t="n">
        <v>5.429539</v>
      </c>
      <c r="E178" s="14" t="n">
        <v>72</v>
      </c>
      <c r="F178" s="10" t="n">
        <f aca="false">E178/'Correction factors'!$B$10</f>
        <v>5.8068</v>
      </c>
      <c r="G178" s="11" t="n">
        <v>358</v>
      </c>
    </row>
    <row r="179" customFormat="false" ht="15" hidden="false" customHeight="false" outlineLevel="0" collapsed="false">
      <c r="A179" s="10" t="n">
        <v>37.8465821743012</v>
      </c>
      <c r="B179" s="11" t="n">
        <v>200</v>
      </c>
      <c r="C179" s="12" t="n">
        <f aca="false">B179*'Correction factors'!$B$7</f>
        <v>967.8</v>
      </c>
      <c r="D179" s="13" t="n">
        <v>5.419718</v>
      </c>
      <c r="E179" s="14" t="n">
        <v>80</v>
      </c>
      <c r="F179" s="10" t="n">
        <f aca="false">E179/'Correction factors'!$B$10</f>
        <v>6.452</v>
      </c>
      <c r="G179" s="11" t="n">
        <v>358</v>
      </c>
    </row>
    <row r="180" customFormat="false" ht="15" hidden="false" customHeight="false" outlineLevel="0" collapsed="false">
      <c r="A180" s="10" t="n">
        <v>38.3358249664307</v>
      </c>
      <c r="B180" s="11" t="n">
        <v>200</v>
      </c>
      <c r="C180" s="12" t="n">
        <f aca="false">B180*'Correction factors'!$B$7</f>
        <v>967.8</v>
      </c>
      <c r="D180" s="13" t="n">
        <v>5.409896</v>
      </c>
      <c r="E180" s="14" t="n">
        <v>72</v>
      </c>
      <c r="F180" s="10" t="n">
        <f aca="false">E180/'Correction factors'!$B$10</f>
        <v>5.8068</v>
      </c>
      <c r="G180" s="11" t="n">
        <v>358</v>
      </c>
    </row>
    <row r="181" customFormat="false" ht="15" hidden="false" customHeight="false" outlineLevel="0" collapsed="false">
      <c r="A181" s="10" t="n">
        <v>38.3358249664307</v>
      </c>
      <c r="B181" s="11" t="n">
        <v>200</v>
      </c>
      <c r="C181" s="12" t="n">
        <f aca="false">B181*'Correction factors'!$B$7</f>
        <v>967.8</v>
      </c>
      <c r="D181" s="13" t="n">
        <v>5.409896</v>
      </c>
      <c r="E181" s="14" t="n">
        <v>72</v>
      </c>
      <c r="F181" s="10" t="n">
        <f aca="false">E181/'Correction factors'!$B$10</f>
        <v>5.8068</v>
      </c>
      <c r="G181" s="11" t="n">
        <v>358</v>
      </c>
    </row>
    <row r="182" customFormat="false" ht="15" hidden="false" customHeight="false" outlineLevel="0" collapsed="false">
      <c r="A182" s="10" t="n">
        <v>38.7809388637543</v>
      </c>
      <c r="B182" s="11" t="n">
        <v>200</v>
      </c>
      <c r="C182" s="12" t="n">
        <f aca="false">B182*'Correction factors'!$B$7</f>
        <v>967.8</v>
      </c>
      <c r="D182" s="13" t="n">
        <v>5.400074</v>
      </c>
      <c r="E182" s="14" t="n">
        <v>80</v>
      </c>
      <c r="F182" s="10" t="n">
        <f aca="false">E182/'Correction factors'!$B$10</f>
        <v>6.452</v>
      </c>
      <c r="G182" s="11" t="n">
        <v>358</v>
      </c>
    </row>
    <row r="183" customFormat="false" ht="15" hidden="false" customHeight="false" outlineLevel="0" collapsed="false">
      <c r="A183" s="10" t="n">
        <v>38.7809388637543</v>
      </c>
      <c r="B183" s="11" t="n">
        <v>200</v>
      </c>
      <c r="C183" s="12" t="n">
        <f aca="false">B183*'Correction factors'!$B$7</f>
        <v>967.8</v>
      </c>
      <c r="D183" s="13" t="n">
        <v>5.400074</v>
      </c>
      <c r="E183" s="14" t="n">
        <v>72</v>
      </c>
      <c r="F183" s="10" t="n">
        <f aca="false">E183/'Correction factors'!$B$10</f>
        <v>5.8068</v>
      </c>
      <c r="G183" s="11" t="n">
        <v>358</v>
      </c>
    </row>
    <row r="184" customFormat="false" ht="15" hidden="false" customHeight="false" outlineLevel="0" collapsed="false">
      <c r="A184" s="10" t="n">
        <v>39.2357752323151</v>
      </c>
      <c r="B184" s="11" t="n">
        <v>200</v>
      </c>
      <c r="C184" s="12" t="n">
        <f aca="false">B184*'Correction factors'!$B$7</f>
        <v>967.8</v>
      </c>
      <c r="D184" s="13" t="n">
        <v>5.400074</v>
      </c>
      <c r="E184" s="14" t="n">
        <v>80</v>
      </c>
      <c r="F184" s="10" t="n">
        <f aca="false">E184/'Correction factors'!$B$10</f>
        <v>6.452</v>
      </c>
      <c r="G184" s="11" t="n">
        <v>358</v>
      </c>
    </row>
    <row r="185" customFormat="false" ht="15" hidden="false" customHeight="false" outlineLevel="0" collapsed="false">
      <c r="A185" s="10" t="n">
        <v>39.2357752323151</v>
      </c>
      <c r="B185" s="11" t="n">
        <v>200</v>
      </c>
      <c r="C185" s="12" t="n">
        <f aca="false">B185*'Correction factors'!$B$7</f>
        <v>967.8</v>
      </c>
      <c r="D185" s="13" t="n">
        <v>5.390253</v>
      </c>
      <c r="E185" s="14" t="n">
        <v>72</v>
      </c>
      <c r="F185" s="10" t="n">
        <f aca="false">E185/'Correction factors'!$B$10</f>
        <v>5.8068</v>
      </c>
      <c r="G185" s="11" t="n">
        <v>358</v>
      </c>
    </row>
    <row r="186" customFormat="false" ht="15" hidden="false" customHeight="false" outlineLevel="0" collapsed="false">
      <c r="A186" s="10" t="n">
        <v>39.678083896637</v>
      </c>
      <c r="B186" s="11" t="n">
        <v>200</v>
      </c>
      <c r="C186" s="12" t="n">
        <f aca="false">B186*'Correction factors'!$B$7</f>
        <v>967.8</v>
      </c>
      <c r="D186" s="13" t="n">
        <v>5.380431</v>
      </c>
      <c r="E186" s="14" t="n">
        <v>72</v>
      </c>
      <c r="F186" s="10" t="n">
        <f aca="false">E186/'Correction factors'!$B$10</f>
        <v>5.8068</v>
      </c>
      <c r="G186" s="11" t="n">
        <v>358</v>
      </c>
    </row>
    <row r="187" customFormat="false" ht="15" hidden="false" customHeight="false" outlineLevel="0" collapsed="false">
      <c r="A187" s="10" t="n">
        <v>39.678083896637</v>
      </c>
      <c r="B187" s="11" t="n">
        <v>200</v>
      </c>
      <c r="C187" s="12" t="n">
        <f aca="false">B187*'Correction factors'!$B$7</f>
        <v>967.8</v>
      </c>
      <c r="D187" s="13" t="n">
        <v>5.380431</v>
      </c>
      <c r="E187" s="14" t="n">
        <v>80</v>
      </c>
      <c r="F187" s="10" t="n">
        <f aca="false">E187/'Correction factors'!$B$10</f>
        <v>6.452</v>
      </c>
      <c r="G187" s="11" t="n">
        <v>358</v>
      </c>
    </row>
    <row r="188" customFormat="false" ht="15" hidden="false" customHeight="false" outlineLevel="0" collapsed="false">
      <c r="A188" s="10" t="n">
        <v>40.1245496273041</v>
      </c>
      <c r="B188" s="11" t="n">
        <v>180</v>
      </c>
      <c r="C188" s="12" t="n">
        <f aca="false">B188*'Correction factors'!$B$7</f>
        <v>871.02</v>
      </c>
      <c r="D188" s="13" t="n">
        <v>5.37061</v>
      </c>
      <c r="E188" s="14" t="n">
        <v>72</v>
      </c>
      <c r="F188" s="10" t="n">
        <f aca="false">E188/'Correction factors'!$B$10</f>
        <v>5.8068</v>
      </c>
      <c r="G188" s="11" t="n">
        <v>359</v>
      </c>
    </row>
    <row r="189" customFormat="false" ht="15" hidden="false" customHeight="false" outlineLevel="0" collapsed="false">
      <c r="A189" s="10" t="n">
        <v>40.1245496273041</v>
      </c>
      <c r="B189" s="11" t="n">
        <v>200</v>
      </c>
      <c r="C189" s="12" t="n">
        <f aca="false">B189*'Correction factors'!$B$7</f>
        <v>967.8</v>
      </c>
      <c r="D189" s="13" t="n">
        <v>5.380431</v>
      </c>
      <c r="E189" s="14" t="n">
        <v>72</v>
      </c>
      <c r="F189" s="10" t="n">
        <f aca="false">E189/'Correction factors'!$B$10</f>
        <v>5.8068</v>
      </c>
      <c r="G189" s="11" t="n">
        <v>358</v>
      </c>
    </row>
    <row r="190" customFormat="false" ht="15" hidden="false" customHeight="false" outlineLevel="0" collapsed="false">
      <c r="A190" s="10" t="n">
        <v>40.1245496273041</v>
      </c>
      <c r="B190" s="11" t="n">
        <v>200</v>
      </c>
      <c r="C190" s="12" t="n">
        <f aca="false">B190*'Correction factors'!$B$7</f>
        <v>967.8</v>
      </c>
      <c r="D190" s="13" t="n">
        <v>5.380431</v>
      </c>
      <c r="E190" s="14" t="n">
        <v>72</v>
      </c>
      <c r="F190" s="10" t="n">
        <f aca="false">E190/'Correction factors'!$B$10</f>
        <v>5.8068</v>
      </c>
      <c r="G190" s="11" t="n">
        <v>358</v>
      </c>
    </row>
    <row r="191" customFormat="false" ht="15" hidden="false" customHeight="false" outlineLevel="0" collapsed="false">
      <c r="A191" s="10" t="n">
        <v>40.6096744537354</v>
      </c>
      <c r="B191" s="11" t="n">
        <v>200</v>
      </c>
      <c r="C191" s="12" t="n">
        <f aca="false">B191*'Correction factors'!$B$7</f>
        <v>967.8</v>
      </c>
      <c r="D191" s="13" t="n">
        <v>5.360788</v>
      </c>
      <c r="E191" s="14" t="n">
        <v>80</v>
      </c>
      <c r="F191" s="10" t="n">
        <f aca="false">E191/'Correction factors'!$B$10</f>
        <v>6.452</v>
      </c>
      <c r="G191" s="11" t="n">
        <v>358</v>
      </c>
    </row>
    <row r="192" customFormat="false" ht="15" hidden="false" customHeight="false" outlineLevel="0" collapsed="false">
      <c r="A192" s="10" t="n">
        <v>40.6096744537354</v>
      </c>
      <c r="B192" s="11" t="n">
        <v>200</v>
      </c>
      <c r="C192" s="12" t="n">
        <f aca="false">B192*'Correction factors'!$B$7</f>
        <v>967.8</v>
      </c>
      <c r="D192" s="13" t="n">
        <v>5.360788</v>
      </c>
      <c r="E192" s="14" t="n">
        <v>72</v>
      </c>
      <c r="F192" s="10" t="n">
        <f aca="false">E192/'Correction factors'!$B$10</f>
        <v>5.8068</v>
      </c>
      <c r="G192" s="11" t="n">
        <v>358</v>
      </c>
    </row>
    <row r="193" customFormat="false" ht="15" hidden="false" customHeight="false" outlineLevel="0" collapsed="false">
      <c r="A193" s="10" t="n">
        <v>41.0403158664703</v>
      </c>
      <c r="B193" s="11" t="n">
        <v>200</v>
      </c>
      <c r="C193" s="12" t="n">
        <f aca="false">B193*'Correction factors'!$B$7</f>
        <v>967.8</v>
      </c>
      <c r="D193" s="13" t="n">
        <v>5.360788</v>
      </c>
      <c r="E193" s="14" t="n">
        <v>72</v>
      </c>
      <c r="F193" s="10" t="n">
        <f aca="false">E193/'Correction factors'!$B$10</f>
        <v>5.8068</v>
      </c>
      <c r="G193" s="11" t="n">
        <v>358</v>
      </c>
    </row>
    <row r="194" customFormat="false" ht="15" hidden="false" customHeight="false" outlineLevel="0" collapsed="false">
      <c r="A194" s="10" t="n">
        <v>41.0403158664703</v>
      </c>
      <c r="B194" s="11" t="n">
        <v>200</v>
      </c>
      <c r="C194" s="12" t="n">
        <f aca="false">B194*'Correction factors'!$B$7</f>
        <v>967.8</v>
      </c>
      <c r="D194" s="13" t="n">
        <v>5.350966</v>
      </c>
      <c r="E194" s="14" t="n">
        <v>72</v>
      </c>
      <c r="F194" s="10" t="n">
        <f aca="false">E194/'Correction factors'!$B$10</f>
        <v>5.8068</v>
      </c>
      <c r="G194" s="11" t="n">
        <v>358</v>
      </c>
    </row>
    <row r="195" customFormat="false" ht="15" hidden="false" customHeight="false" outlineLevel="0" collapsed="false">
      <c r="A195" s="10" t="n">
        <v>41.4749941825867</v>
      </c>
      <c r="B195" s="11" t="n">
        <v>200</v>
      </c>
      <c r="C195" s="12" t="n">
        <f aca="false">B195*'Correction factors'!$B$7</f>
        <v>967.8</v>
      </c>
      <c r="D195" s="13" t="n">
        <v>5.360788</v>
      </c>
      <c r="E195" s="14" t="n">
        <v>80</v>
      </c>
      <c r="F195" s="10" t="n">
        <f aca="false">E195/'Correction factors'!$B$10</f>
        <v>6.452</v>
      </c>
      <c r="G195" s="11" t="n">
        <v>358</v>
      </c>
    </row>
    <row r="196" customFormat="false" ht="15" hidden="false" customHeight="false" outlineLevel="0" collapsed="false">
      <c r="A196" s="10" t="n">
        <v>41.4749941825867</v>
      </c>
      <c r="B196" s="11" t="n">
        <v>200</v>
      </c>
      <c r="C196" s="12" t="n">
        <f aca="false">B196*'Correction factors'!$B$7</f>
        <v>967.8</v>
      </c>
      <c r="D196" s="13" t="n">
        <v>5.350966</v>
      </c>
      <c r="E196" s="14" t="n">
        <v>72</v>
      </c>
      <c r="F196" s="10" t="n">
        <f aca="false">E196/'Correction factors'!$B$10</f>
        <v>5.8068</v>
      </c>
      <c r="G196" s="11" t="n">
        <v>358</v>
      </c>
    </row>
    <row r="197" customFormat="false" ht="15" hidden="false" customHeight="false" outlineLevel="0" collapsed="false">
      <c r="A197" s="10" t="n">
        <v>41.9032797813416</v>
      </c>
      <c r="B197" s="11" t="n">
        <v>200</v>
      </c>
      <c r="C197" s="12" t="n">
        <f aca="false">B197*'Correction factors'!$B$7</f>
        <v>967.8</v>
      </c>
      <c r="D197" s="13" t="n">
        <v>5.350966</v>
      </c>
      <c r="E197" s="14" t="n">
        <v>72</v>
      </c>
      <c r="F197" s="10" t="n">
        <f aca="false">E197/'Correction factors'!$B$10</f>
        <v>5.8068</v>
      </c>
      <c r="G197" s="11" t="n">
        <v>358</v>
      </c>
    </row>
    <row r="198" customFormat="false" ht="15" hidden="false" customHeight="false" outlineLevel="0" collapsed="false">
      <c r="A198" s="10" t="n">
        <v>41.9032797813416</v>
      </c>
      <c r="B198" s="11" t="n">
        <v>220</v>
      </c>
      <c r="C198" s="12" t="n">
        <f aca="false">B198*'Correction factors'!$B$7</f>
        <v>1064.58</v>
      </c>
      <c r="D198" s="13" t="n">
        <v>5.341145</v>
      </c>
      <c r="E198" s="14" t="n">
        <v>72</v>
      </c>
      <c r="F198" s="10" t="n">
        <f aca="false">E198/'Correction factors'!$B$10</f>
        <v>5.8068</v>
      </c>
      <c r="G198" s="11" t="n">
        <v>358</v>
      </c>
    </row>
    <row r="199" customFormat="false" ht="15" hidden="false" customHeight="false" outlineLevel="0" collapsed="false">
      <c r="A199" s="10" t="n">
        <v>42.3756577968597</v>
      </c>
      <c r="B199" s="11" t="n">
        <v>200</v>
      </c>
      <c r="C199" s="12" t="n">
        <f aca="false">B199*'Correction factors'!$B$7</f>
        <v>967.8</v>
      </c>
      <c r="D199" s="13" t="n">
        <v>5.331323</v>
      </c>
      <c r="E199" s="14" t="n">
        <v>80</v>
      </c>
      <c r="F199" s="10" t="n">
        <f aca="false">E199/'Correction factors'!$B$10</f>
        <v>6.452</v>
      </c>
      <c r="G199" s="11" t="n">
        <v>356</v>
      </c>
    </row>
    <row r="200" customFormat="false" ht="15" hidden="false" customHeight="false" outlineLevel="0" collapsed="false">
      <c r="A200" s="10" t="n">
        <v>42.3756577968597</v>
      </c>
      <c r="B200" s="11" t="n">
        <v>200</v>
      </c>
      <c r="C200" s="12" t="n">
        <f aca="false">B200*'Correction factors'!$B$7</f>
        <v>967.8</v>
      </c>
      <c r="D200" s="13" t="n">
        <v>5.331323</v>
      </c>
      <c r="E200" s="14" t="n">
        <v>72</v>
      </c>
      <c r="F200" s="10" t="n">
        <f aca="false">E200/'Correction factors'!$B$10</f>
        <v>5.8068</v>
      </c>
      <c r="G200" s="11" t="n">
        <v>356</v>
      </c>
    </row>
    <row r="201" customFormat="false" ht="15" hidden="false" customHeight="false" outlineLevel="0" collapsed="false">
      <c r="A201" s="10" t="n">
        <v>42.8150157928467</v>
      </c>
      <c r="B201" s="11" t="n">
        <v>200</v>
      </c>
      <c r="C201" s="12" t="n">
        <f aca="false">B201*'Correction factors'!$B$7</f>
        <v>967.8</v>
      </c>
      <c r="D201" s="13" t="n">
        <v>5.331323</v>
      </c>
      <c r="E201" s="14" t="n">
        <v>72</v>
      </c>
      <c r="F201" s="10" t="n">
        <f aca="false">E201/'Correction factors'!$B$10</f>
        <v>5.8068</v>
      </c>
      <c r="G201" s="11" t="n">
        <v>357</v>
      </c>
    </row>
    <row r="202" customFormat="false" ht="15" hidden="false" customHeight="false" outlineLevel="0" collapsed="false">
      <c r="A202" s="10" t="n">
        <v>42.8150157928467</v>
      </c>
      <c r="B202" s="11" t="n">
        <v>180</v>
      </c>
      <c r="C202" s="12" t="n">
        <f aca="false">B202*'Correction factors'!$B$7</f>
        <v>871.02</v>
      </c>
      <c r="D202" s="13" t="n">
        <v>5.331323</v>
      </c>
      <c r="E202" s="14" t="n">
        <v>72</v>
      </c>
      <c r="F202" s="10" t="n">
        <f aca="false">E202/'Correction factors'!$B$10</f>
        <v>5.8068</v>
      </c>
      <c r="G202" s="11" t="n">
        <v>357</v>
      </c>
    </row>
    <row r="203" customFormat="false" ht="15" hidden="false" customHeight="false" outlineLevel="0" collapsed="false">
      <c r="A203" s="10" t="n">
        <v>42.8150157928467</v>
      </c>
      <c r="B203" s="11" t="n">
        <v>200</v>
      </c>
      <c r="C203" s="12" t="n">
        <f aca="false">B203*'Correction factors'!$B$7</f>
        <v>967.8</v>
      </c>
      <c r="D203" s="13" t="n">
        <v>5.331323</v>
      </c>
      <c r="E203" s="14" t="n">
        <v>72</v>
      </c>
      <c r="F203" s="10" t="n">
        <f aca="false">E203/'Correction factors'!$B$10</f>
        <v>5.8068</v>
      </c>
      <c r="G203" s="11" t="n">
        <v>359</v>
      </c>
    </row>
    <row r="204" customFormat="false" ht="15" hidden="false" customHeight="false" outlineLevel="0" collapsed="false">
      <c r="A204" s="10" t="n">
        <v>43.2962002754211</v>
      </c>
      <c r="B204" s="11" t="n">
        <v>200</v>
      </c>
      <c r="C204" s="12" t="n">
        <f aca="false">B204*'Correction factors'!$B$7</f>
        <v>967.8</v>
      </c>
      <c r="D204" s="13" t="n">
        <v>5.331323</v>
      </c>
      <c r="E204" s="14" t="n">
        <v>72</v>
      </c>
      <c r="F204" s="10" t="n">
        <f aca="false">E204/'Correction factors'!$B$10</f>
        <v>5.8068</v>
      </c>
      <c r="G204" s="11" t="n">
        <v>358</v>
      </c>
    </row>
    <row r="205" customFormat="false" ht="15" hidden="false" customHeight="false" outlineLevel="0" collapsed="false">
      <c r="A205" s="10" t="n">
        <v>43.2962002754211</v>
      </c>
      <c r="B205" s="11" t="n">
        <v>200</v>
      </c>
      <c r="C205" s="12" t="n">
        <f aca="false">B205*'Correction factors'!$B$7</f>
        <v>967.8</v>
      </c>
      <c r="D205" s="13" t="n">
        <v>5.321502</v>
      </c>
      <c r="E205" s="14" t="n">
        <v>72</v>
      </c>
      <c r="F205" s="10" t="n">
        <f aca="false">E205/'Correction factors'!$B$10</f>
        <v>5.8068</v>
      </c>
      <c r="G205" s="11" t="n">
        <v>358</v>
      </c>
    </row>
    <row r="206" customFormat="false" ht="15" hidden="false" customHeight="false" outlineLevel="0" collapsed="false">
      <c r="A206" s="10" t="n">
        <v>43.7295925617218</v>
      </c>
      <c r="B206" s="11" t="n">
        <v>200</v>
      </c>
      <c r="C206" s="12" t="n">
        <f aca="false">B206*'Correction factors'!$B$7</f>
        <v>967.8</v>
      </c>
      <c r="D206" s="13" t="n">
        <v>5.31168</v>
      </c>
      <c r="E206" s="14" t="n">
        <v>80</v>
      </c>
      <c r="F206" s="10" t="n">
        <f aca="false">E206/'Correction factors'!$B$10</f>
        <v>6.452</v>
      </c>
      <c r="G206" s="11" t="n">
        <v>358</v>
      </c>
    </row>
    <row r="207" customFormat="false" ht="15" hidden="false" customHeight="false" outlineLevel="0" collapsed="false">
      <c r="A207" s="10" t="n">
        <v>43.7295925617218</v>
      </c>
      <c r="B207" s="11" t="n">
        <v>200</v>
      </c>
      <c r="C207" s="12" t="n">
        <f aca="false">B207*'Correction factors'!$B$7</f>
        <v>967.8</v>
      </c>
      <c r="D207" s="13" t="n">
        <v>5.301858</v>
      </c>
      <c r="E207" s="14" t="n">
        <v>72</v>
      </c>
      <c r="F207" s="10" t="n">
        <f aca="false">E207/'Correction factors'!$B$10</f>
        <v>5.8068</v>
      </c>
      <c r="G207" s="11" t="n">
        <v>358</v>
      </c>
    </row>
    <row r="208" customFormat="false" ht="15" hidden="false" customHeight="false" outlineLevel="0" collapsed="false">
      <c r="A208" s="10" t="n">
        <v>44.162695646286</v>
      </c>
      <c r="B208" s="11" t="n">
        <v>200</v>
      </c>
      <c r="C208" s="12" t="n">
        <f aca="false">B208*'Correction factors'!$B$7</f>
        <v>967.8</v>
      </c>
      <c r="D208" s="13" t="n">
        <v>5.301858</v>
      </c>
      <c r="E208" s="14" t="n">
        <v>72</v>
      </c>
      <c r="F208" s="10" t="n">
        <f aca="false">E208/'Correction factors'!$B$10</f>
        <v>5.8068</v>
      </c>
      <c r="G208" s="11" t="n">
        <v>358</v>
      </c>
    </row>
    <row r="209" customFormat="false" ht="15" hidden="false" customHeight="false" outlineLevel="0" collapsed="false">
      <c r="A209" s="10" t="n">
        <v>44.162695646286</v>
      </c>
      <c r="B209" s="11" t="n">
        <v>180</v>
      </c>
      <c r="C209" s="12" t="n">
        <f aca="false">B209*'Correction factors'!$B$7</f>
        <v>871.02</v>
      </c>
      <c r="D209" s="13" t="n">
        <v>5.301858</v>
      </c>
      <c r="E209" s="14" t="n">
        <v>80</v>
      </c>
      <c r="F209" s="10" t="n">
        <f aca="false">E209/'Correction factors'!$B$10</f>
        <v>6.452</v>
      </c>
      <c r="G209" s="11" t="n">
        <v>358</v>
      </c>
    </row>
    <row r="210" customFormat="false" ht="15" hidden="false" customHeight="false" outlineLevel="0" collapsed="false">
      <c r="A210" s="10" t="n">
        <v>44.5960240364075</v>
      </c>
      <c r="B210" s="11" t="n">
        <v>200</v>
      </c>
      <c r="C210" s="12" t="n">
        <f aca="false">B210*'Correction factors'!$B$7</f>
        <v>967.8</v>
      </c>
      <c r="D210" s="13" t="n">
        <v>5.301858</v>
      </c>
      <c r="E210" s="14" t="n">
        <v>72</v>
      </c>
      <c r="F210" s="10" t="n">
        <f aca="false">E210/'Correction factors'!$B$10</f>
        <v>5.8068</v>
      </c>
      <c r="G210" s="11" t="n">
        <v>360</v>
      </c>
    </row>
    <row r="211" customFormat="false" ht="15" hidden="false" customHeight="false" outlineLevel="0" collapsed="false">
      <c r="A211" s="10" t="n">
        <v>44.5960240364075</v>
      </c>
      <c r="B211" s="11" t="n">
        <v>200</v>
      </c>
      <c r="C211" s="12" t="n">
        <f aca="false">B211*'Correction factors'!$B$7</f>
        <v>967.8</v>
      </c>
      <c r="D211" s="13" t="n">
        <v>5.282216</v>
      </c>
      <c r="E211" s="14" t="n">
        <v>72</v>
      </c>
      <c r="F211" s="10" t="n">
        <f aca="false">E211/'Correction factors'!$B$10</f>
        <v>5.8068</v>
      </c>
      <c r="G211" s="11" t="n">
        <v>360</v>
      </c>
    </row>
    <row r="212" customFormat="false" ht="15" hidden="false" customHeight="false" outlineLevel="0" collapsed="false">
      <c r="A212" s="10" t="n">
        <v>45.0271291732788</v>
      </c>
      <c r="B212" s="11" t="n">
        <v>220</v>
      </c>
      <c r="C212" s="12" t="n">
        <f aca="false">B212*'Correction factors'!$B$7</f>
        <v>1064.58</v>
      </c>
      <c r="D212" s="13" t="n">
        <v>5.282216</v>
      </c>
      <c r="E212" s="14" t="n">
        <v>80</v>
      </c>
      <c r="F212" s="10" t="n">
        <f aca="false">E212/'Correction factors'!$B$10</f>
        <v>6.452</v>
      </c>
      <c r="G212" s="11" t="n">
        <v>359</v>
      </c>
    </row>
    <row r="213" customFormat="false" ht="15" hidden="false" customHeight="false" outlineLevel="0" collapsed="false">
      <c r="A213" s="10" t="n">
        <v>45.0271291732788</v>
      </c>
      <c r="B213" s="11" t="n">
        <v>200</v>
      </c>
      <c r="C213" s="12" t="n">
        <f aca="false">B213*'Correction factors'!$B$7</f>
        <v>967.8</v>
      </c>
      <c r="D213" s="13" t="n">
        <v>5.262572</v>
      </c>
      <c r="E213" s="14" t="n">
        <v>80</v>
      </c>
      <c r="F213" s="10" t="n">
        <f aca="false">E213/'Correction factors'!$B$10</f>
        <v>6.452</v>
      </c>
      <c r="G213" s="11" t="n">
        <v>358</v>
      </c>
    </row>
    <row r="214" customFormat="false" ht="15" hidden="false" customHeight="false" outlineLevel="0" collapsed="false">
      <c r="A214" s="10" t="n">
        <v>45.4288694858551</v>
      </c>
      <c r="B214" s="11" t="n">
        <v>200</v>
      </c>
      <c r="C214" s="12" t="n">
        <f aca="false">B214*'Correction factors'!$B$7</f>
        <v>967.8</v>
      </c>
      <c r="D214" s="13" t="n">
        <v>5.262572</v>
      </c>
      <c r="E214" s="14" t="n">
        <v>72</v>
      </c>
      <c r="F214" s="10" t="n">
        <f aca="false">E214/'Correction factors'!$B$10</f>
        <v>5.8068</v>
      </c>
      <c r="G214" s="11" t="n">
        <v>357</v>
      </c>
    </row>
    <row r="215" customFormat="false" ht="15" hidden="false" customHeight="false" outlineLevel="0" collapsed="false">
      <c r="A215" s="10" t="n">
        <v>45.4288694858551</v>
      </c>
      <c r="B215" s="11" t="n">
        <v>200</v>
      </c>
      <c r="C215" s="12" t="n">
        <f aca="false">B215*'Correction factors'!$B$7</f>
        <v>967.8</v>
      </c>
      <c r="D215" s="13" t="n">
        <v>5.252751</v>
      </c>
      <c r="E215" s="14" t="n">
        <v>80</v>
      </c>
      <c r="F215" s="10" t="n">
        <f aca="false">E215/'Correction factors'!$B$10</f>
        <v>6.452</v>
      </c>
      <c r="G215" s="11" t="n">
        <v>357</v>
      </c>
    </row>
    <row r="216" customFormat="false" ht="15" hidden="false" customHeight="false" outlineLevel="0" collapsed="false">
      <c r="A216" s="10" t="n">
        <v>45.8281903266907</v>
      </c>
      <c r="B216" s="11" t="n">
        <v>200</v>
      </c>
      <c r="C216" s="12" t="n">
        <f aca="false">B216*'Correction factors'!$B$7</f>
        <v>967.8</v>
      </c>
      <c r="D216" s="13" t="n">
        <v>5.252751</v>
      </c>
      <c r="E216" s="14" t="n">
        <v>72</v>
      </c>
      <c r="F216" s="10" t="n">
        <f aca="false">E216/'Correction factors'!$B$10</f>
        <v>5.8068</v>
      </c>
      <c r="G216" s="11" t="n">
        <v>358</v>
      </c>
    </row>
    <row r="217" customFormat="false" ht="15" hidden="false" customHeight="false" outlineLevel="0" collapsed="false">
      <c r="A217" s="10" t="n">
        <v>45.8281903266907</v>
      </c>
      <c r="B217" s="11" t="n">
        <v>200</v>
      </c>
      <c r="C217" s="12" t="n">
        <f aca="false">B217*'Correction factors'!$B$7</f>
        <v>967.8</v>
      </c>
      <c r="D217" s="13" t="n">
        <v>5.252751</v>
      </c>
      <c r="E217" s="14" t="n">
        <v>80</v>
      </c>
      <c r="F217" s="10" t="n">
        <f aca="false">E217/'Correction factors'!$B$10</f>
        <v>6.452</v>
      </c>
      <c r="G217" s="11" t="n">
        <v>358</v>
      </c>
    </row>
    <row r="218" customFormat="false" ht="15" hidden="false" customHeight="false" outlineLevel="0" collapsed="false">
      <c r="A218" s="10" t="n">
        <v>46.2280762195587</v>
      </c>
      <c r="B218" s="11" t="n">
        <v>180</v>
      </c>
      <c r="C218" s="12" t="n">
        <f aca="false">B218*'Correction factors'!$B$7</f>
        <v>871.02</v>
      </c>
      <c r="D218" s="13" t="n">
        <v>5.242929</v>
      </c>
      <c r="E218" s="14" t="n">
        <v>72</v>
      </c>
      <c r="F218" s="10" t="n">
        <f aca="false">E218/'Correction factors'!$B$10</f>
        <v>5.8068</v>
      </c>
      <c r="G218" s="11" t="n">
        <v>358</v>
      </c>
    </row>
    <row r="219" customFormat="false" ht="15" hidden="false" customHeight="false" outlineLevel="0" collapsed="false">
      <c r="A219" s="10" t="n">
        <v>46.2280762195587</v>
      </c>
      <c r="B219" s="11" t="n">
        <v>200</v>
      </c>
      <c r="C219" s="12" t="n">
        <f aca="false">B219*'Correction factors'!$B$7</f>
        <v>967.8</v>
      </c>
      <c r="D219" s="13" t="n">
        <v>5.233108</v>
      </c>
      <c r="E219" s="14" t="n">
        <v>80</v>
      </c>
      <c r="F219" s="10" t="n">
        <f aca="false">E219/'Correction factors'!$B$10</f>
        <v>6.452</v>
      </c>
      <c r="G219" s="11" t="n">
        <v>359</v>
      </c>
    </row>
    <row r="220" customFormat="false" ht="15" hidden="false" customHeight="false" outlineLevel="0" collapsed="false">
      <c r="A220" s="10" t="n">
        <v>46.631715297699</v>
      </c>
      <c r="B220" s="11" t="n">
        <v>200</v>
      </c>
      <c r="C220" s="12" t="n">
        <f aca="false">B220*'Correction factors'!$B$7</f>
        <v>967.8</v>
      </c>
      <c r="D220" s="13" t="n">
        <v>5.233108</v>
      </c>
      <c r="E220" s="14" t="n">
        <v>72</v>
      </c>
      <c r="F220" s="10" t="n">
        <f aca="false">E220/'Correction factors'!$B$10</f>
        <v>5.8068</v>
      </c>
      <c r="G220" s="11" t="n">
        <v>358</v>
      </c>
    </row>
    <row r="221" customFormat="false" ht="15" hidden="false" customHeight="false" outlineLevel="0" collapsed="false">
      <c r="A221" s="10" t="n">
        <v>46.631715297699</v>
      </c>
      <c r="B221" s="11" t="n">
        <v>200</v>
      </c>
      <c r="C221" s="12" t="n">
        <f aca="false">B221*'Correction factors'!$B$7</f>
        <v>967.8</v>
      </c>
      <c r="D221" s="13" t="n">
        <v>5.233108</v>
      </c>
      <c r="E221" s="14" t="n">
        <v>80</v>
      </c>
      <c r="F221" s="10" t="n">
        <f aca="false">E221/'Correction factors'!$B$10</f>
        <v>6.452</v>
      </c>
      <c r="G221" s="11" t="n">
        <v>358</v>
      </c>
    </row>
    <row r="222" customFormat="false" ht="15" hidden="false" customHeight="false" outlineLevel="0" collapsed="false">
      <c r="A222" s="10" t="n">
        <v>47.0829660892487</v>
      </c>
      <c r="B222" s="11" t="n">
        <v>200</v>
      </c>
      <c r="C222" s="12" t="n">
        <f aca="false">B222*'Correction factors'!$B$7</f>
        <v>967.8</v>
      </c>
      <c r="D222" s="13" t="n">
        <v>5.233108</v>
      </c>
      <c r="E222" s="14" t="n">
        <v>72</v>
      </c>
      <c r="F222" s="10" t="n">
        <f aca="false">E222/'Correction factors'!$B$10</f>
        <v>5.8068</v>
      </c>
      <c r="G222" s="11" t="n">
        <v>358</v>
      </c>
    </row>
    <row r="223" customFormat="false" ht="15" hidden="false" customHeight="false" outlineLevel="0" collapsed="false">
      <c r="A223" s="10" t="n">
        <v>47.0829660892487</v>
      </c>
      <c r="B223" s="11" t="n">
        <v>200</v>
      </c>
      <c r="C223" s="12" t="n">
        <f aca="false">B223*'Correction factors'!$B$7</f>
        <v>967.8</v>
      </c>
      <c r="D223" s="13" t="n">
        <v>5.223286</v>
      </c>
      <c r="E223" s="14" t="n">
        <v>80</v>
      </c>
      <c r="F223" s="10" t="n">
        <f aca="false">E223/'Correction factors'!$B$10</f>
        <v>6.452</v>
      </c>
      <c r="G223" s="11" t="n">
        <v>358</v>
      </c>
    </row>
    <row r="224" customFormat="false" ht="15" hidden="false" customHeight="false" outlineLevel="0" collapsed="false">
      <c r="A224" s="10" t="n">
        <v>47.4933366775513</v>
      </c>
      <c r="B224" s="11" t="n">
        <v>200</v>
      </c>
      <c r="C224" s="12" t="n">
        <f aca="false">B224*'Correction factors'!$B$7</f>
        <v>967.8</v>
      </c>
      <c r="D224" s="13" t="n">
        <v>5.213464</v>
      </c>
      <c r="E224" s="14" t="n">
        <v>72</v>
      </c>
      <c r="F224" s="10" t="n">
        <f aca="false">E224/'Correction factors'!$B$10</f>
        <v>5.8068</v>
      </c>
      <c r="G224" s="11" t="n">
        <v>358</v>
      </c>
    </row>
    <row r="225" customFormat="false" ht="15" hidden="false" customHeight="false" outlineLevel="0" collapsed="false">
      <c r="A225" s="10" t="n">
        <v>47.4933366775513</v>
      </c>
      <c r="B225" s="11" t="n">
        <v>200</v>
      </c>
      <c r="C225" s="12" t="n">
        <f aca="false">B225*'Correction factors'!$B$7</f>
        <v>967.8</v>
      </c>
      <c r="D225" s="13" t="n">
        <v>5.203642</v>
      </c>
      <c r="E225" s="14" t="n">
        <v>80</v>
      </c>
      <c r="F225" s="10" t="n">
        <f aca="false">E225/'Correction factors'!$B$10</f>
        <v>6.452</v>
      </c>
      <c r="G225" s="11" t="n">
        <v>358</v>
      </c>
    </row>
    <row r="226" customFormat="false" ht="15" hidden="false" customHeight="false" outlineLevel="0" collapsed="false">
      <c r="A226" s="10" t="n">
        <v>47.8906672000885</v>
      </c>
      <c r="B226" s="11" t="n">
        <v>180</v>
      </c>
      <c r="C226" s="12" t="n">
        <f aca="false">B226*'Correction factors'!$B$7</f>
        <v>871.02</v>
      </c>
      <c r="D226" s="13" t="n">
        <v>5.213464</v>
      </c>
      <c r="E226" s="14" t="n">
        <v>72</v>
      </c>
      <c r="F226" s="10" t="n">
        <f aca="false">E226/'Correction factors'!$B$10</f>
        <v>5.8068</v>
      </c>
      <c r="G226" s="11" t="n">
        <v>358</v>
      </c>
    </row>
    <row r="227" customFormat="false" ht="15" hidden="false" customHeight="false" outlineLevel="0" collapsed="false">
      <c r="A227" s="10" t="n">
        <v>47.8906672000885</v>
      </c>
      <c r="B227" s="11" t="n">
        <v>180</v>
      </c>
      <c r="C227" s="12" t="n">
        <f aca="false">B227*'Correction factors'!$B$7</f>
        <v>871.02</v>
      </c>
      <c r="D227" s="13" t="n">
        <v>5.193821</v>
      </c>
      <c r="E227" s="14" t="n">
        <v>80</v>
      </c>
      <c r="F227" s="10" t="n">
        <f aca="false">E227/'Correction factors'!$B$10</f>
        <v>6.452</v>
      </c>
      <c r="G227" s="11" t="n">
        <v>359</v>
      </c>
    </row>
    <row r="228" customFormat="false" ht="15" hidden="false" customHeight="false" outlineLevel="0" collapsed="false">
      <c r="A228" s="10" t="n">
        <v>48.2940034866333</v>
      </c>
      <c r="B228" s="11" t="n">
        <v>200</v>
      </c>
      <c r="C228" s="12" t="n">
        <f aca="false">B228*'Correction factors'!$B$7</f>
        <v>967.8</v>
      </c>
      <c r="D228" s="13" t="n">
        <v>5.203642</v>
      </c>
      <c r="E228" s="14" t="n">
        <v>72</v>
      </c>
      <c r="F228" s="10" t="n">
        <f aca="false">E228/'Correction factors'!$B$10</f>
        <v>5.8068</v>
      </c>
      <c r="G228" s="11" t="n">
        <v>362</v>
      </c>
    </row>
    <row r="229" customFormat="false" ht="15" hidden="false" customHeight="false" outlineLevel="0" collapsed="false">
      <c r="A229" s="10" t="n">
        <v>48.2940034866333</v>
      </c>
      <c r="B229" s="11" t="n">
        <v>200</v>
      </c>
      <c r="C229" s="12" t="n">
        <f aca="false">B229*'Correction factors'!$B$7</f>
        <v>967.8</v>
      </c>
      <c r="D229" s="13" t="n">
        <v>5.193821</v>
      </c>
      <c r="E229" s="14" t="n">
        <v>80</v>
      </c>
      <c r="F229" s="10" t="n">
        <f aca="false">E229/'Correction factors'!$B$10</f>
        <v>6.452</v>
      </c>
      <c r="G229" s="11" t="n">
        <v>362</v>
      </c>
    </row>
    <row r="230" customFormat="false" ht="15" hidden="false" customHeight="false" outlineLevel="0" collapsed="false">
      <c r="A230" s="10" t="n">
        <v>48.6912710666657</v>
      </c>
      <c r="B230" s="11" t="n">
        <v>220</v>
      </c>
      <c r="C230" s="12" t="n">
        <f aca="false">B230*'Correction factors'!$B$7</f>
        <v>1064.58</v>
      </c>
      <c r="D230" s="13" t="n">
        <v>5.174178</v>
      </c>
      <c r="E230" s="14" t="n">
        <v>80</v>
      </c>
      <c r="F230" s="10" t="n">
        <f aca="false">E230/'Correction factors'!$B$10</f>
        <v>6.452</v>
      </c>
      <c r="G230" s="11" t="n">
        <v>360</v>
      </c>
    </row>
    <row r="231" customFormat="false" ht="15" hidden="false" customHeight="false" outlineLevel="0" collapsed="false">
      <c r="A231" s="10" t="n">
        <v>48.6912710666657</v>
      </c>
      <c r="B231" s="11" t="n">
        <v>200</v>
      </c>
      <c r="C231" s="12" t="n">
        <f aca="false">B231*'Correction factors'!$B$7</f>
        <v>967.8</v>
      </c>
      <c r="D231" s="13" t="n">
        <v>5.174178</v>
      </c>
      <c r="E231" s="14" t="n">
        <v>80</v>
      </c>
      <c r="F231" s="10" t="n">
        <f aca="false">E231/'Correction factors'!$B$10</f>
        <v>6.452</v>
      </c>
      <c r="G231" s="11" t="n">
        <v>358</v>
      </c>
    </row>
    <row r="232" customFormat="false" ht="15" hidden="false" customHeight="false" outlineLevel="0" collapsed="false">
      <c r="A232" s="10" t="n">
        <v>49.0936810970306</v>
      </c>
      <c r="B232" s="11" t="n">
        <v>220</v>
      </c>
      <c r="C232" s="12" t="n">
        <f aca="false">B232*'Correction factors'!$B$7</f>
        <v>1064.58</v>
      </c>
      <c r="D232" s="13" t="n">
        <v>5.164356</v>
      </c>
      <c r="E232" s="14" t="n">
        <v>80</v>
      </c>
      <c r="F232" s="10" t="n">
        <f aca="false">E232/'Correction factors'!$B$10</f>
        <v>6.452</v>
      </c>
      <c r="G232" s="11" t="n">
        <v>359</v>
      </c>
    </row>
    <row r="233" customFormat="false" ht="15" hidden="false" customHeight="false" outlineLevel="0" collapsed="false">
      <c r="A233" s="10" t="n">
        <v>49.0936810970306</v>
      </c>
      <c r="B233" s="11" t="n">
        <v>200</v>
      </c>
      <c r="C233" s="12" t="n">
        <f aca="false">B233*'Correction factors'!$B$7</f>
        <v>967.8</v>
      </c>
      <c r="D233" s="13" t="n">
        <v>5.164356</v>
      </c>
      <c r="E233" s="14" t="n">
        <v>72</v>
      </c>
      <c r="F233" s="10" t="n">
        <f aca="false">E233/'Correction factors'!$B$10</f>
        <v>5.8068</v>
      </c>
      <c r="G233" s="11" t="n">
        <v>359</v>
      </c>
    </row>
    <row r="234" customFormat="false" ht="15" hidden="false" customHeight="false" outlineLevel="0" collapsed="false">
      <c r="A234" s="10" t="n">
        <v>49.4947717189789</v>
      </c>
      <c r="B234" s="11" t="n">
        <v>200</v>
      </c>
      <c r="C234" s="12" t="n">
        <f aca="false">B234*'Correction factors'!$B$7</f>
        <v>967.8</v>
      </c>
      <c r="D234" s="13" t="n">
        <v>5.154535</v>
      </c>
      <c r="E234" s="14" t="n">
        <v>80</v>
      </c>
      <c r="F234" s="10" t="n">
        <f aca="false">E234/'Correction factors'!$B$10</f>
        <v>6.452</v>
      </c>
      <c r="G234" s="11" t="n">
        <v>358</v>
      </c>
    </row>
    <row r="235" customFormat="false" ht="15" hidden="false" customHeight="false" outlineLevel="0" collapsed="false">
      <c r="A235" s="10" t="n">
        <v>49.4947717189789</v>
      </c>
      <c r="B235" s="11" t="n">
        <v>200</v>
      </c>
      <c r="C235" s="12" t="n">
        <f aca="false">B235*'Correction factors'!$B$7</f>
        <v>967.8</v>
      </c>
      <c r="D235" s="13" t="n">
        <v>5.154535</v>
      </c>
      <c r="E235" s="14" t="n">
        <v>80</v>
      </c>
      <c r="F235" s="10" t="n">
        <f aca="false">E235/'Correction factors'!$B$10</f>
        <v>6.452</v>
      </c>
      <c r="G235" s="11" t="n">
        <v>358</v>
      </c>
    </row>
    <row r="236" customFormat="false" ht="15" hidden="false" customHeight="false" outlineLevel="0" collapsed="false">
      <c r="A236" s="10" t="n">
        <v>49.9144747257233</v>
      </c>
      <c r="B236" s="11" t="n">
        <v>200</v>
      </c>
      <c r="C236" s="12" t="n">
        <f aca="false">B236*'Correction factors'!$B$7</f>
        <v>967.8</v>
      </c>
      <c r="D236" s="13" t="n">
        <v>5.154535</v>
      </c>
      <c r="E236" s="14" t="n">
        <v>72</v>
      </c>
      <c r="F236" s="10" t="n">
        <f aca="false">E236/'Correction factors'!$B$10</f>
        <v>5.8068</v>
      </c>
      <c r="G236" s="11" t="n">
        <v>358</v>
      </c>
    </row>
    <row r="237" customFormat="false" ht="15" hidden="false" customHeight="false" outlineLevel="0" collapsed="false">
      <c r="A237" s="10" t="n">
        <v>49.9144747257233</v>
      </c>
      <c r="B237" s="11" t="n">
        <v>200</v>
      </c>
      <c r="C237" s="12" t="n">
        <f aca="false">B237*'Correction factors'!$B$7</f>
        <v>967.8</v>
      </c>
      <c r="D237" s="13" t="n">
        <v>5.144713</v>
      </c>
      <c r="E237" s="14" t="n">
        <v>80</v>
      </c>
      <c r="F237" s="10" t="n">
        <f aca="false">E237/'Correction factors'!$B$10</f>
        <v>6.452</v>
      </c>
      <c r="G237" s="11" t="n">
        <v>358</v>
      </c>
    </row>
    <row r="238" customFormat="false" ht="15" hidden="false" customHeight="false" outlineLevel="0" collapsed="false">
      <c r="A238" s="10" t="n">
        <v>50.3252055644989</v>
      </c>
      <c r="B238" s="11" t="n">
        <v>200</v>
      </c>
      <c r="C238" s="12" t="n">
        <f aca="false">B238*'Correction factors'!$B$7</f>
        <v>967.8</v>
      </c>
      <c r="D238" s="13" t="n">
        <v>5.144713</v>
      </c>
      <c r="E238" s="14" t="n">
        <v>72</v>
      </c>
      <c r="F238" s="10" t="n">
        <f aca="false">E238/'Correction factors'!$B$10</f>
        <v>5.8068</v>
      </c>
      <c r="G238" s="11" t="n">
        <v>358</v>
      </c>
    </row>
    <row r="239" customFormat="false" ht="15" hidden="false" customHeight="false" outlineLevel="0" collapsed="false">
      <c r="A239" s="10" t="n">
        <v>50.3252055644989</v>
      </c>
      <c r="B239" s="11" t="n">
        <v>200</v>
      </c>
      <c r="C239" s="12" t="n">
        <f aca="false">B239*'Correction factors'!$B$7</f>
        <v>967.8</v>
      </c>
      <c r="D239" s="13" t="n">
        <v>5.134892</v>
      </c>
      <c r="E239" s="14" t="n">
        <v>80</v>
      </c>
      <c r="F239" s="10" t="n">
        <f aca="false">E239/'Correction factors'!$B$10</f>
        <v>6.452</v>
      </c>
      <c r="G239" s="11" t="n">
        <v>358</v>
      </c>
    </row>
    <row r="240" customFormat="false" ht="15" hidden="false" customHeight="false" outlineLevel="0" collapsed="false">
      <c r="A240" s="10" t="n">
        <v>50.7371163368225</v>
      </c>
      <c r="B240" s="11" t="n">
        <v>200</v>
      </c>
      <c r="C240" s="12" t="n">
        <f aca="false">B240*'Correction factors'!$B$7</f>
        <v>967.8</v>
      </c>
      <c r="D240" s="13" t="n">
        <v>5.134892</v>
      </c>
      <c r="E240" s="14" t="n">
        <v>72</v>
      </c>
      <c r="F240" s="10" t="n">
        <f aca="false">E240/'Correction factors'!$B$10</f>
        <v>5.8068</v>
      </c>
      <c r="G240" s="11" t="n">
        <v>358</v>
      </c>
    </row>
    <row r="241" customFormat="false" ht="15" hidden="false" customHeight="false" outlineLevel="0" collapsed="false">
      <c r="A241" s="10" t="n">
        <v>50.7371163368225</v>
      </c>
      <c r="B241" s="11" t="n">
        <v>200</v>
      </c>
      <c r="C241" s="12" t="n">
        <f aca="false">B241*'Correction factors'!$B$7</f>
        <v>967.8</v>
      </c>
      <c r="D241" s="13" t="n">
        <v>5.12507</v>
      </c>
      <c r="E241" s="14" t="n">
        <v>80</v>
      </c>
      <c r="F241" s="10" t="n">
        <f aca="false">E241/'Correction factors'!$B$10</f>
        <v>6.452</v>
      </c>
      <c r="G241" s="11" t="n">
        <v>358</v>
      </c>
    </row>
    <row r="242" customFormat="false" ht="15" hidden="false" customHeight="false" outlineLevel="0" collapsed="false">
      <c r="A242" s="10" t="n">
        <v>51.1560959815979</v>
      </c>
      <c r="B242" s="11" t="n">
        <v>180</v>
      </c>
      <c r="C242" s="12" t="n">
        <f aca="false">B242*'Correction factors'!$B$7</f>
        <v>871.02</v>
      </c>
      <c r="D242" s="13" t="n">
        <v>5.12507</v>
      </c>
      <c r="E242" s="14" t="n">
        <v>72</v>
      </c>
      <c r="F242" s="10" t="n">
        <f aca="false">E242/'Correction factors'!$B$10</f>
        <v>5.8068</v>
      </c>
      <c r="G242" s="11" t="n">
        <v>358</v>
      </c>
    </row>
    <row r="243" customFormat="false" ht="15" hidden="false" customHeight="false" outlineLevel="0" collapsed="false">
      <c r="A243" s="10" t="n">
        <v>51.1560959815979</v>
      </c>
      <c r="B243" s="11" t="n">
        <v>180</v>
      </c>
      <c r="C243" s="12" t="n">
        <f aca="false">B243*'Correction factors'!$B$7</f>
        <v>871.02</v>
      </c>
      <c r="D243" s="13" t="n">
        <v>5.115248</v>
      </c>
      <c r="E243" s="14" t="n">
        <v>72</v>
      </c>
      <c r="F243" s="10" t="n">
        <f aca="false">E243/'Correction factors'!$B$10</f>
        <v>5.8068</v>
      </c>
      <c r="G243" s="11" t="n">
        <v>359</v>
      </c>
    </row>
    <row r="244" customFormat="false" ht="15" hidden="false" customHeight="false" outlineLevel="0" collapsed="false">
      <c r="A244" s="10" t="n">
        <v>51.6066029071808</v>
      </c>
      <c r="B244" s="11" t="n">
        <v>200</v>
      </c>
      <c r="C244" s="12" t="n">
        <f aca="false">B244*'Correction factors'!$B$7</f>
        <v>967.8</v>
      </c>
      <c r="D244" s="13" t="n">
        <v>5.115248</v>
      </c>
      <c r="E244" s="14" t="n">
        <v>80</v>
      </c>
      <c r="F244" s="10" t="n">
        <f aca="false">E244/'Correction factors'!$B$10</f>
        <v>6.452</v>
      </c>
      <c r="G244" s="11" t="n">
        <v>362</v>
      </c>
    </row>
    <row r="245" customFormat="false" ht="15" hidden="false" customHeight="false" outlineLevel="0" collapsed="false">
      <c r="A245" s="10" t="n">
        <v>51.6066029071808</v>
      </c>
      <c r="B245" s="11" t="n">
        <v>180</v>
      </c>
      <c r="C245" s="12" t="n">
        <f aca="false">B245*'Correction factors'!$B$7</f>
        <v>871.02</v>
      </c>
      <c r="D245" s="13" t="n">
        <v>5.095605</v>
      </c>
      <c r="E245" s="14" t="n">
        <v>80</v>
      </c>
      <c r="F245" s="10" t="n">
        <f aca="false">E245/'Correction factors'!$B$10</f>
        <v>6.452</v>
      </c>
      <c r="G245" s="11" t="n">
        <v>362</v>
      </c>
    </row>
    <row r="246" customFormat="false" ht="15" hidden="false" customHeight="false" outlineLevel="0" collapsed="false">
      <c r="A246" s="10" t="n">
        <v>52.0339686870575</v>
      </c>
      <c r="B246" s="11" t="n">
        <v>200</v>
      </c>
      <c r="C246" s="12" t="n">
        <f aca="false">B246*'Correction factors'!$B$7</f>
        <v>967.8</v>
      </c>
      <c r="D246" s="13" t="n">
        <v>5.095605</v>
      </c>
      <c r="E246" s="14" t="n">
        <v>80</v>
      </c>
      <c r="F246" s="10" t="n">
        <f aca="false">E246/'Correction factors'!$B$10</f>
        <v>6.452</v>
      </c>
      <c r="G246" s="11" t="n">
        <v>362</v>
      </c>
    </row>
    <row r="247" customFormat="false" ht="15" hidden="false" customHeight="false" outlineLevel="0" collapsed="false">
      <c r="A247" s="10" t="n">
        <v>52.0339686870575</v>
      </c>
      <c r="B247" s="11" t="n">
        <v>200</v>
      </c>
      <c r="C247" s="12" t="n">
        <f aca="false">B247*'Correction factors'!$B$7</f>
        <v>967.8</v>
      </c>
      <c r="D247" s="13" t="n">
        <v>5.095605</v>
      </c>
      <c r="E247" s="14" t="n">
        <v>80</v>
      </c>
      <c r="F247" s="10" t="n">
        <f aca="false">E247/'Correction factors'!$B$10</f>
        <v>6.452</v>
      </c>
      <c r="G247" s="11" t="n">
        <v>362</v>
      </c>
    </row>
    <row r="248" customFormat="false" ht="15" hidden="false" customHeight="false" outlineLevel="0" collapsed="false">
      <c r="A248" s="10" t="n">
        <v>52.4486856460571</v>
      </c>
      <c r="B248" s="11" t="n">
        <v>220</v>
      </c>
      <c r="C248" s="12" t="n">
        <f aca="false">B248*'Correction factors'!$B$7</f>
        <v>1064.58</v>
      </c>
      <c r="D248" s="13" t="n">
        <v>5.075962</v>
      </c>
      <c r="E248" s="14" t="n">
        <v>80</v>
      </c>
      <c r="F248" s="10" t="n">
        <f aca="false">E248/'Correction factors'!$B$10</f>
        <v>6.452</v>
      </c>
      <c r="G248" s="11" t="n">
        <v>360</v>
      </c>
    </row>
    <row r="249" customFormat="false" ht="15" hidden="false" customHeight="false" outlineLevel="0" collapsed="false">
      <c r="A249" s="10" t="n">
        <v>52.4486856460571</v>
      </c>
      <c r="B249" s="11" t="n">
        <v>200</v>
      </c>
      <c r="C249" s="12" t="n">
        <f aca="false">B249*'Correction factors'!$B$7</f>
        <v>967.8</v>
      </c>
      <c r="D249" s="13" t="n">
        <v>5.06614</v>
      </c>
      <c r="E249" s="14" t="n">
        <v>80</v>
      </c>
      <c r="F249" s="10" t="n">
        <f aca="false">E249/'Correction factors'!$B$10</f>
        <v>6.452</v>
      </c>
      <c r="G249" s="11" t="n">
        <v>359</v>
      </c>
    </row>
    <row r="250" customFormat="false" ht="15" hidden="false" customHeight="false" outlineLevel="0" collapsed="false">
      <c r="A250" s="10" t="n">
        <v>52.8663876056671</v>
      </c>
      <c r="B250" s="11" t="n">
        <v>200</v>
      </c>
      <c r="C250" s="12" t="n">
        <f aca="false">B250*'Correction factors'!$B$7</f>
        <v>967.8</v>
      </c>
      <c r="D250" s="13" t="n">
        <v>5.056319</v>
      </c>
      <c r="E250" s="14" t="n">
        <v>80</v>
      </c>
      <c r="F250" s="10" t="n">
        <f aca="false">E250/'Correction factors'!$B$10</f>
        <v>6.452</v>
      </c>
      <c r="G250" s="11" t="n">
        <v>359</v>
      </c>
    </row>
    <row r="251" customFormat="false" ht="15" hidden="false" customHeight="false" outlineLevel="0" collapsed="false">
      <c r="A251" s="10" t="n">
        <v>52.8663876056671</v>
      </c>
      <c r="B251" s="11" t="n">
        <v>180</v>
      </c>
      <c r="C251" s="12" t="n">
        <f aca="false">B251*'Correction factors'!$B$7</f>
        <v>871.02</v>
      </c>
      <c r="D251" s="13" t="n">
        <v>5.056319</v>
      </c>
      <c r="E251" s="14" t="n">
        <v>80</v>
      </c>
      <c r="F251" s="10" t="n">
        <f aca="false">E251/'Correction factors'!$B$10</f>
        <v>6.452</v>
      </c>
      <c r="G251" s="11" t="n">
        <v>359</v>
      </c>
    </row>
    <row r="252" customFormat="false" ht="15" hidden="false" customHeight="false" outlineLevel="0" collapsed="false">
      <c r="A252" s="10" t="n">
        <v>53.2858057022095</v>
      </c>
      <c r="B252" s="11" t="n">
        <v>200</v>
      </c>
      <c r="C252" s="12" t="n">
        <f aca="false">B252*'Correction factors'!$B$7</f>
        <v>967.8</v>
      </c>
      <c r="D252" s="13" t="n">
        <v>5.056319</v>
      </c>
      <c r="E252" s="14" t="n">
        <v>80</v>
      </c>
      <c r="F252" s="10" t="n">
        <f aca="false">E252/'Correction factors'!$B$10</f>
        <v>6.452</v>
      </c>
      <c r="G252" s="11" t="n">
        <v>362</v>
      </c>
    </row>
    <row r="253" customFormat="false" ht="15" hidden="false" customHeight="false" outlineLevel="0" collapsed="false">
      <c r="A253" s="10" t="n">
        <v>53.2858057022095</v>
      </c>
      <c r="B253" s="11" t="n">
        <v>200</v>
      </c>
      <c r="C253" s="12" t="n">
        <f aca="false">B253*'Correction factors'!$B$7</f>
        <v>967.8</v>
      </c>
      <c r="D253" s="13" t="n">
        <v>5.046497</v>
      </c>
      <c r="E253" s="14" t="n">
        <v>80</v>
      </c>
      <c r="F253" s="10" t="n">
        <f aca="false">E253/'Correction factors'!$B$10</f>
        <v>6.452</v>
      </c>
      <c r="G253" s="11" t="n">
        <v>362</v>
      </c>
    </row>
    <row r="254" customFormat="false" ht="15" hidden="false" customHeight="false" outlineLevel="0" collapsed="false">
      <c r="A254" s="10" t="n">
        <v>53.7112665176392</v>
      </c>
      <c r="B254" s="11" t="n">
        <v>200</v>
      </c>
      <c r="C254" s="12" t="n">
        <f aca="false">B254*'Correction factors'!$B$7</f>
        <v>967.8</v>
      </c>
      <c r="D254" s="13" t="n">
        <v>5.036675</v>
      </c>
      <c r="E254" s="14" t="n">
        <v>80</v>
      </c>
      <c r="F254" s="10" t="n">
        <f aca="false">E254/'Correction factors'!$B$10</f>
        <v>6.452</v>
      </c>
      <c r="G254" s="11" t="n">
        <v>360</v>
      </c>
    </row>
    <row r="255" customFormat="false" ht="15" hidden="false" customHeight="false" outlineLevel="0" collapsed="false">
      <c r="A255" s="10" t="n">
        <v>53.7112665176392</v>
      </c>
      <c r="B255" s="11" t="n">
        <v>200</v>
      </c>
      <c r="C255" s="12" t="n">
        <f aca="false">B255*'Correction factors'!$B$7</f>
        <v>967.8</v>
      </c>
      <c r="D255" s="13" t="n">
        <v>5.026854</v>
      </c>
      <c r="E255" s="14" t="n">
        <v>88</v>
      </c>
      <c r="F255" s="10" t="n">
        <f aca="false">E255/'Correction factors'!$B$10</f>
        <v>7.0972</v>
      </c>
      <c r="G255" s="11" t="n">
        <v>360</v>
      </c>
    </row>
    <row r="256" customFormat="false" ht="15" hidden="false" customHeight="false" outlineLevel="0" collapsed="false">
      <c r="A256" s="10" t="n">
        <v>54.131977558136</v>
      </c>
      <c r="B256" s="11" t="n">
        <v>200</v>
      </c>
      <c r="C256" s="12" t="n">
        <f aca="false">B256*'Correction factors'!$B$7</f>
        <v>967.8</v>
      </c>
      <c r="D256" s="13" t="n">
        <v>5.017033</v>
      </c>
      <c r="E256" s="14" t="n">
        <v>80</v>
      </c>
      <c r="F256" s="10" t="n">
        <f aca="false">E256/'Correction factors'!$B$10</f>
        <v>6.452</v>
      </c>
      <c r="G256" s="11" t="n">
        <v>360</v>
      </c>
    </row>
    <row r="257" customFormat="false" ht="15" hidden="false" customHeight="false" outlineLevel="0" collapsed="false">
      <c r="A257" s="10" t="n">
        <v>54.131977558136</v>
      </c>
      <c r="B257" s="11" t="n">
        <v>200</v>
      </c>
      <c r="C257" s="12" t="n">
        <f aca="false">B257*'Correction factors'!$B$7</f>
        <v>967.8</v>
      </c>
      <c r="D257" s="13" t="n">
        <v>5.017033</v>
      </c>
      <c r="E257" s="14" t="n">
        <v>80</v>
      </c>
      <c r="F257" s="10" t="n">
        <f aca="false">E257/'Correction factors'!$B$10</f>
        <v>6.452</v>
      </c>
      <c r="G257" s="11" t="n">
        <v>360</v>
      </c>
    </row>
    <row r="258" customFormat="false" ht="15" hidden="false" customHeight="false" outlineLevel="0" collapsed="false">
      <c r="A258" s="10" t="n">
        <v>54.5469946861267</v>
      </c>
      <c r="B258" s="11" t="n">
        <v>200</v>
      </c>
      <c r="C258" s="12" t="n">
        <f aca="false">B258*'Correction factors'!$B$7</f>
        <v>967.8</v>
      </c>
      <c r="D258" s="13" t="n">
        <v>5.007211</v>
      </c>
      <c r="E258" s="14" t="n">
        <v>80</v>
      </c>
      <c r="F258" s="10" t="n">
        <f aca="false">E258/'Correction factors'!$B$10</f>
        <v>6.452</v>
      </c>
      <c r="G258" s="11" t="n">
        <v>360</v>
      </c>
    </row>
    <row r="259" customFormat="false" ht="15" hidden="false" customHeight="false" outlineLevel="0" collapsed="false">
      <c r="A259" s="10" t="n">
        <v>54.5469946861267</v>
      </c>
      <c r="B259" s="11" t="n">
        <v>200</v>
      </c>
      <c r="C259" s="12" t="n">
        <f aca="false">B259*'Correction factors'!$B$7</f>
        <v>967.8</v>
      </c>
      <c r="D259" s="13" t="n">
        <v>5.007211</v>
      </c>
      <c r="E259" s="14" t="n">
        <v>88</v>
      </c>
      <c r="F259" s="10" t="n">
        <f aca="false">E259/'Correction factors'!$B$10</f>
        <v>7.0972</v>
      </c>
      <c r="G259" s="11" t="n">
        <v>360</v>
      </c>
    </row>
    <row r="260" customFormat="false" ht="15" hidden="false" customHeight="false" outlineLevel="0" collapsed="false">
      <c r="A260" s="10" t="n">
        <v>54.9636290073395</v>
      </c>
      <c r="B260" s="11" t="n">
        <v>200</v>
      </c>
      <c r="C260" s="12" t="n">
        <f aca="false">B260*'Correction factors'!$B$7</f>
        <v>967.8</v>
      </c>
      <c r="D260" s="13" t="n">
        <v>4.987567</v>
      </c>
      <c r="E260" s="14" t="n">
        <v>80</v>
      </c>
      <c r="F260" s="10" t="n">
        <f aca="false">E260/'Correction factors'!$B$10</f>
        <v>6.452</v>
      </c>
      <c r="G260" s="11" t="n">
        <v>360</v>
      </c>
    </row>
    <row r="261" customFormat="false" ht="15" hidden="false" customHeight="false" outlineLevel="0" collapsed="false">
      <c r="A261" s="10" t="n">
        <v>54.9636290073395</v>
      </c>
      <c r="B261" s="11" t="n">
        <v>200</v>
      </c>
      <c r="C261" s="12" t="n">
        <f aca="false">B261*'Correction factors'!$B$7</f>
        <v>967.8</v>
      </c>
      <c r="D261" s="13" t="n">
        <v>4.997389</v>
      </c>
      <c r="E261" s="14" t="n">
        <v>80</v>
      </c>
      <c r="F261" s="10" t="n">
        <f aca="false">E261/'Correction factors'!$B$10</f>
        <v>6.452</v>
      </c>
      <c r="G261" s="11" t="n">
        <v>360</v>
      </c>
    </row>
    <row r="262" customFormat="false" ht="15" hidden="false" customHeight="false" outlineLevel="0" collapsed="false">
      <c r="A262" s="10" t="n">
        <v>55.3774557113648</v>
      </c>
      <c r="B262" s="11" t="n">
        <v>200</v>
      </c>
      <c r="C262" s="12" t="n">
        <f aca="false">B262*'Correction factors'!$B$7</f>
        <v>967.8</v>
      </c>
      <c r="D262" s="13" t="n">
        <v>4.987567</v>
      </c>
      <c r="E262" s="14" t="n">
        <v>80</v>
      </c>
      <c r="F262" s="10" t="n">
        <f aca="false">E262/'Correction factors'!$B$10</f>
        <v>6.452</v>
      </c>
      <c r="G262" s="11" t="n">
        <v>360</v>
      </c>
    </row>
    <row r="263" customFormat="false" ht="15" hidden="false" customHeight="false" outlineLevel="0" collapsed="false">
      <c r="A263" s="10" t="n">
        <v>55.3774557113648</v>
      </c>
      <c r="B263" s="11" t="n">
        <v>200</v>
      </c>
      <c r="C263" s="12" t="n">
        <f aca="false">B263*'Correction factors'!$B$7</f>
        <v>967.8</v>
      </c>
      <c r="D263" s="13" t="n">
        <v>4.987567</v>
      </c>
      <c r="E263" s="14" t="n">
        <v>80</v>
      </c>
      <c r="F263" s="10" t="n">
        <f aca="false">E263/'Correction factors'!$B$10</f>
        <v>6.452</v>
      </c>
      <c r="G263" s="11" t="n">
        <v>360</v>
      </c>
    </row>
    <row r="264" customFormat="false" ht="15" hidden="false" customHeight="false" outlineLevel="0" collapsed="false">
      <c r="A264" s="10" t="n">
        <v>55.7944009304047</v>
      </c>
      <c r="B264" s="11" t="n">
        <v>200</v>
      </c>
      <c r="C264" s="12" t="n">
        <f aca="false">B264*'Correction factors'!$B$7</f>
        <v>967.8</v>
      </c>
      <c r="D264" s="13" t="n">
        <v>4.977746</v>
      </c>
      <c r="E264" s="14" t="n">
        <v>80</v>
      </c>
      <c r="F264" s="10" t="n">
        <f aca="false">E264/'Correction factors'!$B$10</f>
        <v>6.452</v>
      </c>
      <c r="G264" s="11" t="n">
        <v>360</v>
      </c>
    </row>
    <row r="265" customFormat="false" ht="15" hidden="false" customHeight="false" outlineLevel="0" collapsed="false">
      <c r="A265" s="10" t="n">
        <v>55.7944009304047</v>
      </c>
      <c r="B265" s="11" t="n">
        <v>200</v>
      </c>
      <c r="C265" s="12" t="n">
        <f aca="false">B265*'Correction factors'!$B$7</f>
        <v>967.8</v>
      </c>
      <c r="D265" s="13" t="n">
        <v>4.977746</v>
      </c>
      <c r="E265" s="14" t="n">
        <v>88</v>
      </c>
      <c r="F265" s="10" t="n">
        <f aca="false">E265/'Correction factors'!$B$10</f>
        <v>7.0972</v>
      </c>
      <c r="G265" s="11" t="n">
        <v>360</v>
      </c>
    </row>
    <row r="266" customFormat="false" ht="15" hidden="false" customHeight="false" outlineLevel="0" collapsed="false">
      <c r="A266" s="10" t="n">
        <v>56.2483506202698</v>
      </c>
      <c r="B266" s="11" t="n">
        <v>200</v>
      </c>
      <c r="C266" s="12" t="n">
        <f aca="false">B266*'Correction factors'!$B$7</f>
        <v>967.8</v>
      </c>
      <c r="D266" s="13" t="n">
        <v>4.958103</v>
      </c>
      <c r="E266" s="14" t="n">
        <v>80</v>
      </c>
      <c r="F266" s="10" t="n">
        <f aca="false">E266/'Correction factors'!$B$10</f>
        <v>6.452</v>
      </c>
      <c r="G266" s="11" t="n">
        <v>360</v>
      </c>
    </row>
    <row r="267" customFormat="false" ht="15" hidden="false" customHeight="false" outlineLevel="0" collapsed="false">
      <c r="A267" s="10" t="n">
        <v>56.2483506202698</v>
      </c>
      <c r="B267" s="11" t="n">
        <v>200</v>
      </c>
      <c r="C267" s="12" t="n">
        <f aca="false">B267*'Correction factors'!$B$7</f>
        <v>967.8</v>
      </c>
      <c r="D267" s="13" t="n">
        <v>4.967924</v>
      </c>
      <c r="E267" s="14" t="n">
        <v>80</v>
      </c>
      <c r="F267" s="10" t="n">
        <f aca="false">E267/'Correction factors'!$B$10</f>
        <v>6.452</v>
      </c>
      <c r="G267" s="11" t="n">
        <v>360</v>
      </c>
    </row>
    <row r="268" customFormat="false" ht="15" hidden="false" customHeight="false" outlineLevel="0" collapsed="false">
      <c r="A268" s="10" t="n">
        <v>56.2483506202698</v>
      </c>
      <c r="B268" s="11" t="n">
        <v>200</v>
      </c>
      <c r="C268" s="12" t="n">
        <f aca="false">B268*'Correction factors'!$B$7</f>
        <v>967.8</v>
      </c>
      <c r="D268" s="13" t="n">
        <v>4.958103</v>
      </c>
      <c r="E268" s="14" t="n">
        <v>80</v>
      </c>
      <c r="F268" s="10" t="n">
        <f aca="false">E268/'Correction factors'!$B$10</f>
        <v>6.452</v>
      </c>
      <c r="G268" s="11" t="n">
        <v>360</v>
      </c>
    </row>
    <row r="269" customFormat="false" ht="15" hidden="false" customHeight="false" outlineLevel="0" collapsed="false">
      <c r="A269" s="10" t="n">
        <v>56.7368042469025</v>
      </c>
      <c r="B269" s="11" t="n">
        <v>220</v>
      </c>
      <c r="C269" s="12" t="n">
        <f aca="false">B269*'Correction factors'!$B$7</f>
        <v>1064.58</v>
      </c>
      <c r="D269" s="13" t="n">
        <v>4.948281</v>
      </c>
      <c r="E269" s="14" t="n">
        <v>80</v>
      </c>
      <c r="F269" s="10" t="n">
        <f aca="false">E269/'Correction factors'!$B$10</f>
        <v>6.452</v>
      </c>
      <c r="G269" s="11" t="n">
        <v>360</v>
      </c>
    </row>
    <row r="270" customFormat="false" ht="15" hidden="false" customHeight="false" outlineLevel="0" collapsed="false">
      <c r="A270" s="10" t="n">
        <v>56.7368042469025</v>
      </c>
      <c r="B270" s="11" t="n">
        <v>200</v>
      </c>
      <c r="C270" s="12" t="n">
        <f aca="false">B270*'Correction factors'!$B$7</f>
        <v>967.8</v>
      </c>
      <c r="D270" s="13" t="n">
        <v>4.938459</v>
      </c>
      <c r="E270" s="14" t="n">
        <v>80</v>
      </c>
      <c r="F270" s="10" t="n">
        <f aca="false">E270/'Correction factors'!$B$10</f>
        <v>6.452</v>
      </c>
      <c r="G270" s="11" t="n">
        <v>360</v>
      </c>
    </row>
    <row r="271" customFormat="false" ht="15" hidden="false" customHeight="false" outlineLevel="0" collapsed="false">
      <c r="A271" s="10" t="n">
        <v>57.1511850357056</v>
      </c>
      <c r="B271" s="11" t="n">
        <v>200</v>
      </c>
      <c r="C271" s="12" t="n">
        <f aca="false">B271*'Correction factors'!$B$7</f>
        <v>967.8</v>
      </c>
      <c r="D271" s="13" t="n">
        <v>4.938459</v>
      </c>
      <c r="E271" s="14" t="n">
        <v>80</v>
      </c>
      <c r="F271" s="10" t="n">
        <f aca="false">E271/'Correction factors'!$B$10</f>
        <v>6.452</v>
      </c>
      <c r="G271" s="11" t="n">
        <v>359</v>
      </c>
    </row>
    <row r="272" customFormat="false" ht="15" hidden="false" customHeight="false" outlineLevel="0" collapsed="false">
      <c r="A272" s="10" t="n">
        <v>57.1511850357056</v>
      </c>
      <c r="B272" s="11" t="n">
        <v>200</v>
      </c>
      <c r="C272" s="12" t="n">
        <f aca="false">B272*'Correction factors'!$B$7</f>
        <v>967.8</v>
      </c>
      <c r="D272" s="13" t="n">
        <v>4.928638</v>
      </c>
      <c r="E272" s="14" t="n">
        <v>80</v>
      </c>
      <c r="F272" s="10" t="n">
        <f aca="false">E272/'Correction factors'!$B$10</f>
        <v>6.452</v>
      </c>
      <c r="G272" s="11" t="n">
        <v>359</v>
      </c>
    </row>
    <row r="273" customFormat="false" ht="15" hidden="false" customHeight="false" outlineLevel="0" collapsed="false">
      <c r="A273" s="10" t="n">
        <v>57.5760145187378</v>
      </c>
      <c r="B273" s="11" t="n">
        <v>200</v>
      </c>
      <c r="C273" s="12" t="n">
        <f aca="false">B273*'Correction factors'!$B$7</f>
        <v>967.8</v>
      </c>
      <c r="D273" s="13" t="n">
        <v>4.928638</v>
      </c>
      <c r="E273" s="14" t="n">
        <v>80</v>
      </c>
      <c r="F273" s="10" t="n">
        <f aca="false">E273/'Correction factors'!$B$10</f>
        <v>6.452</v>
      </c>
      <c r="G273" s="11" t="n">
        <v>359</v>
      </c>
    </row>
    <row r="274" customFormat="false" ht="15" hidden="false" customHeight="false" outlineLevel="0" collapsed="false">
      <c r="A274" s="10" t="n">
        <v>57.5760145187378</v>
      </c>
      <c r="B274" s="11" t="n">
        <v>200</v>
      </c>
      <c r="C274" s="12" t="n">
        <f aca="false">B274*'Correction factors'!$B$7</f>
        <v>967.8</v>
      </c>
      <c r="D274" s="13" t="n">
        <v>4.928638</v>
      </c>
      <c r="E274" s="14" t="n">
        <v>80</v>
      </c>
      <c r="F274" s="10" t="n">
        <f aca="false">E274/'Correction factors'!$B$10</f>
        <v>6.452</v>
      </c>
      <c r="G274" s="11" t="n">
        <v>359</v>
      </c>
    </row>
    <row r="275" customFormat="false" ht="15" hidden="false" customHeight="false" outlineLevel="0" collapsed="false">
      <c r="A275" s="10" t="n">
        <v>58.0050067901611</v>
      </c>
      <c r="B275" s="11" t="n">
        <v>180</v>
      </c>
      <c r="C275" s="12" t="n">
        <f aca="false">B275*'Correction factors'!$B$7</f>
        <v>871.02</v>
      </c>
      <c r="D275" s="13" t="n">
        <v>4.928638</v>
      </c>
      <c r="E275" s="14" t="n">
        <v>80</v>
      </c>
      <c r="F275" s="10" t="n">
        <f aca="false">E275/'Correction factors'!$B$10</f>
        <v>6.452</v>
      </c>
      <c r="G275" s="11" t="n">
        <v>359</v>
      </c>
    </row>
    <row r="276" customFormat="false" ht="15" hidden="false" customHeight="false" outlineLevel="0" collapsed="false">
      <c r="A276" s="10" t="n">
        <v>58.0050067901611</v>
      </c>
      <c r="B276" s="11" t="n">
        <v>200</v>
      </c>
      <c r="C276" s="12" t="n">
        <f aca="false">B276*'Correction factors'!$B$7</f>
        <v>967.8</v>
      </c>
      <c r="D276" s="13" t="n">
        <v>4.928638</v>
      </c>
      <c r="E276" s="14" t="n">
        <v>72</v>
      </c>
      <c r="F276" s="10" t="n">
        <f aca="false">E276/'Correction factors'!$B$10</f>
        <v>5.8068</v>
      </c>
      <c r="G276" s="11" t="n">
        <v>360</v>
      </c>
    </row>
    <row r="277" customFormat="false" ht="15" hidden="false" customHeight="false" outlineLevel="0" collapsed="false">
      <c r="A277" s="10" t="n">
        <v>58.4183731079102</v>
      </c>
      <c r="B277" s="11" t="n">
        <v>200</v>
      </c>
      <c r="C277" s="12" t="n">
        <f aca="false">B277*'Correction factors'!$B$7</f>
        <v>967.8</v>
      </c>
      <c r="D277" s="13" t="n">
        <v>4.928638</v>
      </c>
      <c r="E277" s="14" t="n">
        <v>80</v>
      </c>
      <c r="F277" s="10" t="n">
        <f aca="false">E277/'Correction factors'!$B$10</f>
        <v>6.452</v>
      </c>
      <c r="G277" s="11" t="n">
        <v>360</v>
      </c>
    </row>
    <row r="278" customFormat="false" ht="15" hidden="false" customHeight="false" outlineLevel="0" collapsed="false">
      <c r="A278" s="10" t="n">
        <v>58.4183731079102</v>
      </c>
      <c r="B278" s="11" t="n">
        <v>200</v>
      </c>
      <c r="C278" s="12" t="n">
        <f aca="false">B278*'Correction factors'!$B$7</f>
        <v>967.8</v>
      </c>
      <c r="D278" s="13" t="n">
        <v>4.918817</v>
      </c>
      <c r="E278" s="14" t="n">
        <v>80</v>
      </c>
      <c r="F278" s="10" t="n">
        <f aca="false">E278/'Correction factors'!$B$10</f>
        <v>6.452</v>
      </c>
      <c r="G278" s="11" t="n">
        <v>360</v>
      </c>
    </row>
    <row r="279" customFormat="false" ht="15" hidden="false" customHeight="false" outlineLevel="0" collapsed="false">
      <c r="A279" s="10" t="n">
        <v>58.8361027240753</v>
      </c>
      <c r="B279" s="11" t="n">
        <v>200</v>
      </c>
      <c r="C279" s="12" t="n">
        <f aca="false">B279*'Correction factors'!$B$7</f>
        <v>967.8</v>
      </c>
      <c r="D279" s="13" t="n">
        <v>4.918817</v>
      </c>
      <c r="E279" s="14" t="n">
        <v>80</v>
      </c>
      <c r="F279" s="10" t="n">
        <f aca="false">E279/'Correction factors'!$B$10</f>
        <v>6.452</v>
      </c>
      <c r="G279" s="11" t="n">
        <v>360</v>
      </c>
    </row>
    <row r="280" customFormat="false" ht="15" hidden="false" customHeight="false" outlineLevel="0" collapsed="false">
      <c r="A280" s="10" t="n">
        <v>58.8361027240753</v>
      </c>
      <c r="B280" s="11" t="n">
        <v>200</v>
      </c>
      <c r="C280" s="12" t="n">
        <f aca="false">B280*'Correction factors'!$B$7</f>
        <v>967.8</v>
      </c>
      <c r="D280" s="13" t="n">
        <v>4.918817</v>
      </c>
      <c r="E280" s="14" t="n">
        <v>72</v>
      </c>
      <c r="F280" s="10" t="n">
        <f aca="false">E280/'Correction factors'!$B$10</f>
        <v>5.8068</v>
      </c>
      <c r="G280" s="11" t="n">
        <v>360</v>
      </c>
    </row>
    <row r="281" customFormat="false" ht="15" hidden="false" customHeight="false" outlineLevel="0" collapsed="false">
      <c r="A281" s="10" t="n">
        <v>59.2499620914459</v>
      </c>
      <c r="B281" s="11" t="n">
        <v>200</v>
      </c>
      <c r="C281" s="12" t="n">
        <f aca="false">B281*'Correction factors'!$B$7</f>
        <v>967.8</v>
      </c>
      <c r="D281" s="13" t="n">
        <v>4.908995</v>
      </c>
      <c r="E281" s="14" t="n">
        <v>80</v>
      </c>
      <c r="F281" s="10" t="n">
        <f aca="false">E281/'Correction factors'!$B$10</f>
        <v>6.452</v>
      </c>
      <c r="G281" s="11" t="n">
        <v>360</v>
      </c>
    </row>
    <row r="282" customFormat="false" ht="15" hidden="false" customHeight="false" outlineLevel="0" collapsed="false">
      <c r="A282" s="10" t="n">
        <v>59.2499620914459</v>
      </c>
      <c r="B282" s="11" t="n">
        <v>200</v>
      </c>
      <c r="C282" s="12" t="n">
        <f aca="false">B282*'Correction factors'!$B$7</f>
        <v>967.8</v>
      </c>
      <c r="D282" s="13" t="n">
        <v>4.908995</v>
      </c>
      <c r="E282" s="14" t="n">
        <v>80</v>
      </c>
      <c r="F282" s="10" t="n">
        <f aca="false">E282/'Correction factors'!$B$10</f>
        <v>6.452</v>
      </c>
      <c r="G282" s="11" t="n">
        <v>360</v>
      </c>
    </row>
    <row r="283" customFormat="false" ht="15" hidden="false" customHeight="false" outlineLevel="0" collapsed="false">
      <c r="A283" s="10" t="n">
        <v>59.6662697792053</v>
      </c>
      <c r="B283" s="11" t="n">
        <v>200</v>
      </c>
      <c r="C283" s="12" t="n">
        <f aca="false">B283*'Correction factors'!$B$7</f>
        <v>967.8</v>
      </c>
      <c r="D283" s="13" t="n">
        <v>4.908995</v>
      </c>
      <c r="E283" s="14" t="n">
        <v>80</v>
      </c>
      <c r="F283" s="10" t="n">
        <f aca="false">E283/'Correction factors'!$B$10</f>
        <v>6.452</v>
      </c>
      <c r="G283" s="11" t="n">
        <v>360</v>
      </c>
    </row>
    <row r="284" customFormat="false" ht="15" hidden="false" customHeight="false" outlineLevel="0" collapsed="false">
      <c r="A284" s="10" t="n">
        <v>59.6662697792053</v>
      </c>
      <c r="B284" s="11" t="n">
        <v>200</v>
      </c>
      <c r="C284" s="12" t="n">
        <f aca="false">B284*'Correction factors'!$B$7</f>
        <v>967.8</v>
      </c>
      <c r="D284" s="13" t="n">
        <v>4.899173</v>
      </c>
      <c r="E284" s="14" t="n">
        <v>72</v>
      </c>
      <c r="F284" s="10" t="n">
        <f aca="false">E284/'Correction factors'!$B$10</f>
        <v>5.8068</v>
      </c>
      <c r="G284" s="11" t="n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5"/>
    <col collapsed="false" customWidth="true" hidden="false" outlineLevel="0" max="6" min="5" style="0" width="20"/>
    <col collapsed="false" customWidth="true" hidden="false" outlineLevel="0" max="7" min="7" style="0" width="15"/>
  </cols>
  <sheetData>
    <row r="1" customFormat="false" ht="30" hidden="false" customHeight="tru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</row>
    <row r="2" customFormat="false" ht="15" hidden="false" customHeight="false" outlineLevel="0" collapsed="false">
      <c r="A2" s="10" t="n">
        <v>0.301353693008423</v>
      </c>
      <c r="B2" s="11" t="n">
        <v>0</v>
      </c>
      <c r="C2" s="12" t="n">
        <f aca="false">B2*'Correction factors'!$B$7</f>
        <v>0</v>
      </c>
      <c r="D2" s="13" t="n">
        <v>1.05893</v>
      </c>
      <c r="E2" s="14" t="n">
        <v>0</v>
      </c>
      <c r="F2" s="10" t="n">
        <f aca="false">E2/'Correction factors'!$B$10</f>
        <v>0</v>
      </c>
      <c r="G2" s="11" t="n">
        <v>506</v>
      </c>
    </row>
    <row r="3" customFormat="false" ht="15" hidden="false" customHeight="false" outlineLevel="0" collapsed="false">
      <c r="A3" s="10" t="n">
        <v>0.301353693008423</v>
      </c>
      <c r="B3" s="11" t="n">
        <v>0</v>
      </c>
      <c r="C3" s="12" t="n">
        <f aca="false">B3*'Correction factors'!$B$7</f>
        <v>0</v>
      </c>
      <c r="D3" s="13" t="n">
        <v>1.05893</v>
      </c>
      <c r="E3" s="14" t="n">
        <v>0</v>
      </c>
      <c r="F3" s="10" t="n">
        <f aca="false">E3/'Correction factors'!$B$10</f>
        <v>0</v>
      </c>
      <c r="G3" s="11" t="n">
        <v>485</v>
      </c>
    </row>
    <row r="4" customFormat="false" ht="15" hidden="false" customHeight="false" outlineLevel="0" collapsed="false">
      <c r="A4" s="10" t="n">
        <v>1.67550778388977</v>
      </c>
      <c r="B4" s="11" t="n">
        <v>0</v>
      </c>
      <c r="C4" s="12" t="n">
        <f aca="false">B4*'Correction factors'!$B$7</f>
        <v>0</v>
      </c>
      <c r="D4" s="13" t="n">
        <v>1.049108</v>
      </c>
      <c r="E4" s="14" t="n">
        <v>0</v>
      </c>
      <c r="F4" s="10" t="n">
        <f aca="false">E4/'Correction factors'!$B$10</f>
        <v>0</v>
      </c>
      <c r="G4" s="11" t="n">
        <v>243</v>
      </c>
    </row>
    <row r="5" customFormat="false" ht="15" hidden="false" customHeight="false" outlineLevel="0" collapsed="false">
      <c r="A5" s="10" t="n">
        <v>1.67550778388977</v>
      </c>
      <c r="B5" s="11" t="n">
        <v>0</v>
      </c>
      <c r="C5" s="12" t="n">
        <f aca="false">B5*'Correction factors'!$B$7</f>
        <v>0</v>
      </c>
      <c r="D5" s="13" t="n">
        <v>1.05893</v>
      </c>
      <c r="E5" s="14" t="n">
        <v>0</v>
      </c>
      <c r="F5" s="10" t="n">
        <f aca="false">E5/'Correction factors'!$B$10</f>
        <v>0</v>
      </c>
      <c r="G5" s="11" t="n">
        <v>246</v>
      </c>
    </row>
    <row r="6" customFormat="false" ht="15" hidden="false" customHeight="false" outlineLevel="0" collapsed="false">
      <c r="A6" s="10" t="n">
        <v>1.67550778388977</v>
      </c>
      <c r="B6" s="11" t="n">
        <v>0</v>
      </c>
      <c r="C6" s="12" t="n">
        <f aca="false">B6*'Correction factors'!$B$7</f>
        <v>0</v>
      </c>
      <c r="D6" s="13" t="n">
        <v>1.05893</v>
      </c>
      <c r="E6" s="14" t="n">
        <v>0</v>
      </c>
      <c r="F6" s="10" t="n">
        <f aca="false">E6/'Correction factors'!$B$10</f>
        <v>0</v>
      </c>
      <c r="G6" s="11" t="n">
        <v>253</v>
      </c>
    </row>
    <row r="7" customFormat="false" ht="15" hidden="false" customHeight="false" outlineLevel="0" collapsed="false">
      <c r="A7" s="10" t="n">
        <v>2.2521505355835</v>
      </c>
      <c r="B7" s="11" t="n">
        <v>0</v>
      </c>
      <c r="C7" s="12" t="n">
        <f aca="false">B7*'Correction factors'!$B$7</f>
        <v>0</v>
      </c>
      <c r="D7" s="13" t="n">
        <v>1.049108</v>
      </c>
      <c r="E7" s="14" t="n">
        <v>0</v>
      </c>
      <c r="F7" s="10" t="n">
        <f aca="false">E7/'Correction factors'!$B$10</f>
        <v>0</v>
      </c>
      <c r="G7" s="11" t="n">
        <v>259</v>
      </c>
    </row>
    <row r="8" customFormat="false" ht="15" hidden="false" customHeight="false" outlineLevel="0" collapsed="false">
      <c r="A8" s="10" t="n">
        <v>2.2521505355835</v>
      </c>
      <c r="B8" s="11" t="n">
        <v>0</v>
      </c>
      <c r="C8" s="12" t="n">
        <f aca="false">B8*'Correction factors'!$B$7</f>
        <v>0</v>
      </c>
      <c r="D8" s="13" t="n">
        <v>1.05893</v>
      </c>
      <c r="E8" s="14" t="n">
        <v>0</v>
      </c>
      <c r="F8" s="10" t="n">
        <f aca="false">E8/'Correction factors'!$B$10</f>
        <v>0</v>
      </c>
      <c r="G8" s="11" t="n">
        <v>262</v>
      </c>
    </row>
    <row r="9" customFormat="false" ht="15" hidden="false" customHeight="false" outlineLevel="0" collapsed="false">
      <c r="A9" s="10" t="n">
        <v>2.68619418144226</v>
      </c>
      <c r="B9" s="11" t="n">
        <v>0</v>
      </c>
      <c r="C9" s="12" t="n">
        <f aca="false">B9*'Correction factors'!$B$7</f>
        <v>0</v>
      </c>
      <c r="D9" s="13" t="n">
        <v>1.05893</v>
      </c>
      <c r="E9" s="14" t="n">
        <v>0</v>
      </c>
      <c r="F9" s="10" t="n">
        <f aca="false">E9/'Correction factors'!$B$10</f>
        <v>0</v>
      </c>
      <c r="G9" s="11" t="n">
        <v>272</v>
      </c>
    </row>
    <row r="10" customFormat="false" ht="15" hidden="false" customHeight="false" outlineLevel="0" collapsed="false">
      <c r="A10" s="10" t="n">
        <v>2.68619418144226</v>
      </c>
      <c r="B10" s="11" t="n">
        <v>0</v>
      </c>
      <c r="C10" s="12" t="n">
        <f aca="false">B10*'Correction factors'!$B$7</f>
        <v>0</v>
      </c>
      <c r="D10" s="13" t="n">
        <v>1.049108</v>
      </c>
      <c r="E10" s="14" t="n">
        <v>0</v>
      </c>
      <c r="F10" s="10" t="n">
        <f aca="false">E10/'Correction factors'!$B$10</f>
        <v>0</v>
      </c>
      <c r="G10" s="11" t="n">
        <v>275</v>
      </c>
    </row>
    <row r="11" customFormat="false" ht="15" hidden="false" customHeight="false" outlineLevel="0" collapsed="false">
      <c r="A11" s="10" t="n">
        <v>3.13213896751404</v>
      </c>
      <c r="B11" s="11" t="n">
        <v>0</v>
      </c>
      <c r="C11" s="12" t="n">
        <f aca="false">B11*'Correction factors'!$B$7</f>
        <v>0</v>
      </c>
      <c r="D11" s="13" t="n">
        <v>1.05893</v>
      </c>
      <c r="E11" s="14" t="n">
        <v>0</v>
      </c>
      <c r="F11" s="10" t="n">
        <f aca="false">E11/'Correction factors'!$B$10</f>
        <v>0</v>
      </c>
      <c r="G11" s="11" t="n">
        <v>285</v>
      </c>
    </row>
    <row r="12" customFormat="false" ht="15" hidden="false" customHeight="false" outlineLevel="0" collapsed="false">
      <c r="A12" s="10" t="n">
        <v>3.13213896751404</v>
      </c>
      <c r="B12" s="11" t="n">
        <v>0</v>
      </c>
      <c r="C12" s="12" t="n">
        <f aca="false">B12*'Correction factors'!$B$7</f>
        <v>0</v>
      </c>
      <c r="D12" s="13" t="n">
        <v>1.049108</v>
      </c>
      <c r="E12" s="14" t="n">
        <v>0</v>
      </c>
      <c r="F12" s="10" t="n">
        <f aca="false">E12/'Correction factors'!$B$10</f>
        <v>0</v>
      </c>
      <c r="G12" s="11" t="n">
        <v>288</v>
      </c>
    </row>
    <row r="13" customFormat="false" ht="15" hidden="false" customHeight="false" outlineLevel="0" collapsed="false">
      <c r="A13" s="10" t="n">
        <v>3.13213896751404</v>
      </c>
      <c r="B13" s="11" t="n">
        <v>0</v>
      </c>
      <c r="C13" s="12" t="n">
        <f aca="false">B13*'Correction factors'!$B$7</f>
        <v>0</v>
      </c>
      <c r="D13" s="13" t="n">
        <v>1.05893</v>
      </c>
      <c r="E13" s="14" t="n">
        <v>0</v>
      </c>
      <c r="F13" s="10" t="n">
        <f aca="false">E13/'Correction factors'!$B$10</f>
        <v>0</v>
      </c>
      <c r="G13" s="11" t="n">
        <v>292</v>
      </c>
    </row>
    <row r="14" customFormat="false" ht="15" hidden="false" customHeight="false" outlineLevel="0" collapsed="false">
      <c r="A14" s="10" t="n">
        <v>3.63270306587219</v>
      </c>
      <c r="B14" s="11" t="n">
        <v>0</v>
      </c>
      <c r="C14" s="12" t="n">
        <f aca="false">B14*'Correction factors'!$B$7</f>
        <v>0</v>
      </c>
      <c r="D14" s="13" t="n">
        <v>1.05893</v>
      </c>
      <c r="E14" s="14" t="n">
        <v>0</v>
      </c>
      <c r="F14" s="10" t="n">
        <f aca="false">E14/'Correction factors'!$B$10</f>
        <v>0</v>
      </c>
      <c r="G14" s="11" t="n">
        <v>304</v>
      </c>
    </row>
    <row r="15" customFormat="false" ht="15" hidden="false" customHeight="false" outlineLevel="0" collapsed="false">
      <c r="A15" s="10" t="n">
        <v>3.63270306587219</v>
      </c>
      <c r="B15" s="11" t="n">
        <v>0</v>
      </c>
      <c r="C15" s="12" t="n">
        <f aca="false">B15*'Correction factors'!$B$7</f>
        <v>0</v>
      </c>
      <c r="D15" s="13" t="n">
        <v>1.068751</v>
      </c>
      <c r="E15" s="14" t="n">
        <v>0</v>
      </c>
      <c r="F15" s="10" t="n">
        <f aca="false">E15/'Correction factors'!$B$10</f>
        <v>0</v>
      </c>
      <c r="G15" s="11" t="n">
        <v>305</v>
      </c>
    </row>
    <row r="16" customFormat="false" ht="15" hidden="false" customHeight="false" outlineLevel="0" collapsed="false">
      <c r="A16" s="10" t="n">
        <v>4.12293791770935</v>
      </c>
      <c r="B16" s="11" t="n">
        <v>0</v>
      </c>
      <c r="C16" s="12" t="n">
        <f aca="false">B16*'Correction factors'!$B$7</f>
        <v>0</v>
      </c>
      <c r="D16" s="13" t="n">
        <v>1.05893</v>
      </c>
      <c r="E16" s="14" t="n">
        <v>0</v>
      </c>
      <c r="F16" s="10" t="n">
        <f aca="false">E16/'Correction factors'!$B$10</f>
        <v>0</v>
      </c>
      <c r="G16" s="11" t="n">
        <v>316</v>
      </c>
    </row>
    <row r="17" customFormat="false" ht="15" hidden="false" customHeight="false" outlineLevel="0" collapsed="false">
      <c r="A17" s="10" t="n">
        <v>4.12293791770935</v>
      </c>
      <c r="B17" s="11" t="n">
        <v>0</v>
      </c>
      <c r="C17" s="12" t="n">
        <f aca="false">B17*'Correction factors'!$B$7</f>
        <v>0</v>
      </c>
      <c r="D17" s="13" t="n">
        <v>1.049108</v>
      </c>
      <c r="E17" s="14" t="n">
        <v>0</v>
      </c>
      <c r="F17" s="10" t="n">
        <f aca="false">E17/'Correction factors'!$B$10</f>
        <v>0</v>
      </c>
      <c r="G17" s="11" t="n">
        <v>317</v>
      </c>
    </row>
    <row r="18" customFormat="false" ht="15" hidden="false" customHeight="false" outlineLevel="0" collapsed="false">
      <c r="A18" s="10" t="n">
        <v>4.56117272377014</v>
      </c>
      <c r="B18" s="11" t="n">
        <v>0</v>
      </c>
      <c r="C18" s="12" t="n">
        <f aca="false">B18*'Correction factors'!$B$7</f>
        <v>0</v>
      </c>
      <c r="D18" s="13" t="n">
        <v>1.049108</v>
      </c>
      <c r="E18" s="14" t="n">
        <v>0</v>
      </c>
      <c r="F18" s="10" t="n">
        <f aca="false">E18/'Correction factors'!$B$10</f>
        <v>0</v>
      </c>
      <c r="G18" s="11" t="n">
        <v>328</v>
      </c>
    </row>
    <row r="19" customFormat="false" ht="15" hidden="false" customHeight="false" outlineLevel="0" collapsed="false">
      <c r="A19" s="10" t="n">
        <v>4.56117272377014</v>
      </c>
      <c r="B19" s="11" t="n">
        <v>0</v>
      </c>
      <c r="C19" s="12" t="n">
        <f aca="false">B19*'Correction factors'!$B$7</f>
        <v>0</v>
      </c>
      <c r="D19" s="13" t="n">
        <v>1.049108</v>
      </c>
      <c r="E19" s="14" t="n">
        <v>0</v>
      </c>
      <c r="F19" s="10" t="n">
        <f aca="false">E19/'Correction factors'!$B$10</f>
        <v>0</v>
      </c>
      <c r="G19" s="11" t="n">
        <v>331</v>
      </c>
    </row>
    <row r="20" customFormat="false" ht="15" hidden="false" customHeight="false" outlineLevel="0" collapsed="false">
      <c r="A20" s="10" t="n">
        <v>4.56117272377014</v>
      </c>
      <c r="B20" s="11" t="n">
        <v>0</v>
      </c>
      <c r="C20" s="12" t="n">
        <f aca="false">B20*'Correction factors'!$B$7</f>
        <v>0</v>
      </c>
      <c r="D20" s="13" t="n">
        <v>1.05893</v>
      </c>
      <c r="E20" s="14" t="n">
        <v>0</v>
      </c>
      <c r="F20" s="10" t="n">
        <f aca="false">E20/'Correction factors'!$B$10</f>
        <v>0</v>
      </c>
      <c r="G20" s="11" t="n">
        <v>340</v>
      </c>
    </row>
    <row r="21" customFormat="false" ht="15" hidden="false" customHeight="false" outlineLevel="0" collapsed="false">
      <c r="A21" s="10" t="n">
        <v>5.03070306777954</v>
      </c>
      <c r="B21" s="11" t="n">
        <v>0</v>
      </c>
      <c r="C21" s="12" t="n">
        <f aca="false">B21*'Correction factors'!$B$7</f>
        <v>0</v>
      </c>
      <c r="D21" s="13" t="n">
        <v>1.049108</v>
      </c>
      <c r="E21" s="14" t="n">
        <v>0</v>
      </c>
      <c r="F21" s="10" t="n">
        <f aca="false">E21/'Correction factors'!$B$10</f>
        <v>0</v>
      </c>
      <c r="G21" s="11" t="n">
        <v>347</v>
      </c>
    </row>
    <row r="22" customFormat="false" ht="15" hidden="false" customHeight="false" outlineLevel="0" collapsed="false">
      <c r="A22" s="10" t="n">
        <v>5.03070306777954</v>
      </c>
      <c r="B22" s="11" t="n">
        <v>0</v>
      </c>
      <c r="C22" s="12" t="n">
        <f aca="false">B22*'Correction factors'!$B$7</f>
        <v>0</v>
      </c>
      <c r="D22" s="13" t="n">
        <v>1.068751</v>
      </c>
      <c r="E22" s="14" t="n">
        <v>0</v>
      </c>
      <c r="F22" s="10" t="n">
        <f aca="false">E22/'Correction factors'!$B$10</f>
        <v>0</v>
      </c>
      <c r="G22" s="11" t="n">
        <v>349</v>
      </c>
    </row>
    <row r="23" customFormat="false" ht="15" hidden="false" customHeight="false" outlineLevel="0" collapsed="false">
      <c r="A23" s="10" t="n">
        <v>5.45213603973389</v>
      </c>
      <c r="B23" s="11" t="n">
        <v>0</v>
      </c>
      <c r="C23" s="12" t="n">
        <f aca="false">B23*'Correction factors'!$B$7</f>
        <v>0</v>
      </c>
      <c r="D23" s="13" t="n">
        <v>1.049108</v>
      </c>
      <c r="E23" s="14" t="n">
        <v>0</v>
      </c>
      <c r="F23" s="10" t="n">
        <f aca="false">E23/'Correction factors'!$B$10</f>
        <v>0</v>
      </c>
      <c r="G23" s="11" t="n">
        <v>358</v>
      </c>
    </row>
    <row r="24" customFormat="false" ht="15" hidden="false" customHeight="false" outlineLevel="0" collapsed="false">
      <c r="A24" s="10" t="n">
        <v>5.45213603973389</v>
      </c>
      <c r="B24" s="11" t="n">
        <v>0</v>
      </c>
      <c r="C24" s="12" t="n">
        <f aca="false">B24*'Correction factors'!$B$7</f>
        <v>0</v>
      </c>
      <c r="D24" s="13" t="n">
        <v>1.05893</v>
      </c>
      <c r="E24" s="14" t="n">
        <v>0</v>
      </c>
      <c r="F24" s="10" t="n">
        <f aca="false">E24/'Correction factors'!$B$10</f>
        <v>0</v>
      </c>
      <c r="G24" s="11" t="n">
        <v>362</v>
      </c>
    </row>
    <row r="25" customFormat="false" ht="15" hidden="false" customHeight="false" outlineLevel="0" collapsed="false">
      <c r="A25" s="10" t="n">
        <v>5.89046764373779</v>
      </c>
      <c r="B25" s="11" t="n">
        <v>0</v>
      </c>
      <c r="C25" s="12" t="n">
        <f aca="false">B25*'Correction factors'!$B$7</f>
        <v>0</v>
      </c>
      <c r="D25" s="13" t="n">
        <v>1.05893</v>
      </c>
      <c r="E25" s="14" t="n">
        <v>0</v>
      </c>
      <c r="F25" s="10" t="n">
        <f aca="false">E25/'Correction factors'!$B$10</f>
        <v>0</v>
      </c>
      <c r="G25" s="11" t="n">
        <v>372</v>
      </c>
    </row>
    <row r="26" customFormat="false" ht="15" hidden="false" customHeight="false" outlineLevel="0" collapsed="false">
      <c r="A26" s="10" t="n">
        <v>5.89046764373779</v>
      </c>
      <c r="B26" s="11" t="n">
        <v>0</v>
      </c>
      <c r="C26" s="12" t="n">
        <f aca="false">B26*'Correction factors'!$B$7</f>
        <v>0</v>
      </c>
      <c r="D26" s="13" t="n">
        <v>1.05893</v>
      </c>
      <c r="E26" s="14" t="n">
        <v>0</v>
      </c>
      <c r="F26" s="10" t="n">
        <f aca="false">E26/'Correction factors'!$B$10</f>
        <v>0</v>
      </c>
      <c r="G26" s="11" t="n">
        <v>374</v>
      </c>
    </row>
    <row r="27" customFormat="false" ht="15" hidden="false" customHeight="false" outlineLevel="0" collapsed="false">
      <c r="A27" s="10" t="n">
        <v>6.31855440139771</v>
      </c>
      <c r="B27" s="11" t="n">
        <v>0</v>
      </c>
      <c r="C27" s="12" t="n">
        <f aca="false">B27*'Correction factors'!$B$7</f>
        <v>0</v>
      </c>
      <c r="D27" s="13" t="n">
        <v>1.05893</v>
      </c>
      <c r="E27" s="14" t="n">
        <v>0</v>
      </c>
      <c r="F27" s="10" t="n">
        <f aca="false">E27/'Correction factors'!$B$10</f>
        <v>0</v>
      </c>
      <c r="G27" s="11" t="n">
        <v>385</v>
      </c>
    </row>
    <row r="28" customFormat="false" ht="15" hidden="false" customHeight="false" outlineLevel="0" collapsed="false">
      <c r="A28" s="10" t="n">
        <v>6.31855440139771</v>
      </c>
      <c r="B28" s="11" t="n">
        <v>0</v>
      </c>
      <c r="C28" s="12" t="n">
        <f aca="false">B28*'Correction factors'!$B$7</f>
        <v>0</v>
      </c>
      <c r="D28" s="13" t="n">
        <v>1.05893</v>
      </c>
      <c r="E28" s="14" t="n">
        <v>0</v>
      </c>
      <c r="F28" s="10" t="n">
        <f aca="false">E28/'Correction factors'!$B$10</f>
        <v>0</v>
      </c>
      <c r="G28" s="11" t="n">
        <v>387</v>
      </c>
    </row>
    <row r="29" customFormat="false" ht="15" hidden="false" customHeight="false" outlineLevel="0" collapsed="false">
      <c r="A29" s="10" t="n">
        <v>6.79988837242127</v>
      </c>
      <c r="B29" s="11" t="n">
        <v>0</v>
      </c>
      <c r="C29" s="12" t="n">
        <f aca="false">B29*'Correction factors'!$B$7</f>
        <v>0</v>
      </c>
      <c r="D29" s="13" t="n">
        <v>1.049108</v>
      </c>
      <c r="E29" s="14" t="n">
        <v>0</v>
      </c>
      <c r="F29" s="10" t="n">
        <f aca="false">E29/'Correction factors'!$B$10</f>
        <v>0</v>
      </c>
      <c r="G29" s="11" t="n">
        <v>397</v>
      </c>
    </row>
    <row r="30" customFormat="false" ht="15" hidden="false" customHeight="false" outlineLevel="0" collapsed="false">
      <c r="A30" s="10" t="n">
        <v>6.79988837242127</v>
      </c>
      <c r="B30" s="11" t="n">
        <v>0</v>
      </c>
      <c r="C30" s="12" t="n">
        <f aca="false">B30*'Correction factors'!$B$7</f>
        <v>0</v>
      </c>
      <c r="D30" s="13" t="n">
        <v>1.068751</v>
      </c>
      <c r="E30" s="14" t="n">
        <v>0</v>
      </c>
      <c r="F30" s="10" t="n">
        <f aca="false">E30/'Correction factors'!$B$10</f>
        <v>0</v>
      </c>
      <c r="G30" s="11" t="n">
        <v>401</v>
      </c>
    </row>
    <row r="31" customFormat="false" ht="15" hidden="false" customHeight="false" outlineLevel="0" collapsed="false">
      <c r="A31" s="10" t="n">
        <v>7.24616050720215</v>
      </c>
      <c r="B31" s="11" t="n">
        <v>0</v>
      </c>
      <c r="C31" s="12" t="n">
        <f aca="false">B31*'Correction factors'!$B$7</f>
        <v>0</v>
      </c>
      <c r="D31" s="13" t="n">
        <v>1.05893</v>
      </c>
      <c r="E31" s="14" t="n">
        <v>0</v>
      </c>
      <c r="F31" s="10" t="n">
        <f aca="false">E31/'Correction factors'!$B$10</f>
        <v>0</v>
      </c>
      <c r="G31" s="11" t="n">
        <v>410</v>
      </c>
    </row>
    <row r="32" customFormat="false" ht="15" hidden="false" customHeight="false" outlineLevel="0" collapsed="false">
      <c r="A32" s="10" t="n">
        <v>7.24616050720215</v>
      </c>
      <c r="B32" s="11" t="n">
        <v>0</v>
      </c>
      <c r="C32" s="12" t="n">
        <f aca="false">B32*'Correction factors'!$B$7</f>
        <v>0</v>
      </c>
      <c r="D32" s="13" t="n">
        <v>1.049108</v>
      </c>
      <c r="E32" s="14" t="n">
        <v>0</v>
      </c>
      <c r="F32" s="10" t="n">
        <f aca="false">E32/'Correction factors'!$B$10</f>
        <v>0</v>
      </c>
      <c r="G32" s="11" t="n">
        <v>414</v>
      </c>
    </row>
    <row r="33" customFormat="false" ht="15" hidden="false" customHeight="false" outlineLevel="0" collapsed="false">
      <c r="A33" s="10" t="n">
        <v>7.24616050720215</v>
      </c>
      <c r="B33" s="11" t="n">
        <v>0</v>
      </c>
      <c r="C33" s="12" t="n">
        <f aca="false">B33*'Correction factors'!$B$7</f>
        <v>0</v>
      </c>
      <c r="D33" s="13" t="n">
        <v>1.05893</v>
      </c>
      <c r="E33" s="14" t="n">
        <v>0</v>
      </c>
      <c r="F33" s="10" t="n">
        <f aca="false">E33/'Correction factors'!$B$10</f>
        <v>0</v>
      </c>
      <c r="G33" s="11" t="n">
        <v>418</v>
      </c>
    </row>
    <row r="34" customFormat="false" ht="15" hidden="false" customHeight="false" outlineLevel="0" collapsed="false">
      <c r="A34" s="10" t="n">
        <v>7.74232912063599</v>
      </c>
      <c r="B34" s="11" t="n">
        <v>0</v>
      </c>
      <c r="C34" s="12" t="n">
        <f aca="false">B34*'Correction factors'!$B$7</f>
        <v>0</v>
      </c>
      <c r="D34" s="13" t="n">
        <v>1.05893</v>
      </c>
      <c r="E34" s="14" t="n">
        <v>0</v>
      </c>
      <c r="F34" s="10" t="n">
        <f aca="false">E34/'Correction factors'!$B$10</f>
        <v>0</v>
      </c>
      <c r="G34" s="11" t="n">
        <v>429</v>
      </c>
    </row>
    <row r="35" customFormat="false" ht="15" hidden="false" customHeight="false" outlineLevel="0" collapsed="false">
      <c r="A35" s="10" t="n">
        <v>7.74232912063599</v>
      </c>
      <c r="B35" s="11" t="n">
        <v>0</v>
      </c>
      <c r="C35" s="12" t="n">
        <f aca="false">B35*'Correction factors'!$B$7</f>
        <v>0</v>
      </c>
      <c r="D35" s="13" t="n">
        <v>1.049108</v>
      </c>
      <c r="E35" s="14" t="n">
        <v>0</v>
      </c>
      <c r="F35" s="10" t="n">
        <f aca="false">E35/'Correction factors'!$B$10</f>
        <v>0</v>
      </c>
      <c r="G35" s="11" t="n">
        <v>432</v>
      </c>
    </row>
    <row r="36" customFormat="false" ht="15" hidden="false" customHeight="false" outlineLevel="0" collapsed="false">
      <c r="A36" s="10" t="n">
        <v>8.20766592025757</v>
      </c>
      <c r="B36" s="11" t="n">
        <v>0</v>
      </c>
      <c r="C36" s="12" t="n">
        <f aca="false">B36*'Correction factors'!$B$7</f>
        <v>0</v>
      </c>
      <c r="D36" s="13" t="n">
        <v>1.068751</v>
      </c>
      <c r="E36" s="14" t="n">
        <v>0</v>
      </c>
      <c r="F36" s="10" t="n">
        <f aca="false">E36/'Correction factors'!$B$10</f>
        <v>0</v>
      </c>
      <c r="G36" s="11" t="n">
        <v>442</v>
      </c>
    </row>
    <row r="37" customFormat="false" ht="15" hidden="false" customHeight="false" outlineLevel="0" collapsed="false">
      <c r="A37" s="10" t="n">
        <v>8.20766592025757</v>
      </c>
      <c r="B37" s="11" t="n">
        <v>0</v>
      </c>
      <c r="C37" s="12" t="n">
        <f aca="false">B37*'Correction factors'!$B$7</f>
        <v>0</v>
      </c>
      <c r="D37" s="13" t="n">
        <v>1.049108</v>
      </c>
      <c r="E37" s="14" t="n">
        <v>0</v>
      </c>
      <c r="F37" s="10" t="n">
        <f aca="false">E37/'Correction factors'!$B$10</f>
        <v>0</v>
      </c>
      <c r="G37" s="11" t="n">
        <v>444</v>
      </c>
    </row>
    <row r="38" customFormat="false" ht="15" hidden="false" customHeight="false" outlineLevel="0" collapsed="false">
      <c r="A38" s="10" t="n">
        <v>8.65701937675476</v>
      </c>
      <c r="B38" s="11" t="n">
        <v>0</v>
      </c>
      <c r="C38" s="12" t="n">
        <f aca="false">B38*'Correction factors'!$B$7</f>
        <v>0</v>
      </c>
      <c r="D38" s="13" t="n">
        <v>1.05893</v>
      </c>
      <c r="E38" s="14" t="n">
        <v>0</v>
      </c>
      <c r="F38" s="10" t="n">
        <f aca="false">E38/'Correction factors'!$B$10</f>
        <v>0</v>
      </c>
      <c r="G38" s="11" t="n">
        <v>451</v>
      </c>
    </row>
    <row r="39" customFormat="false" ht="15" hidden="false" customHeight="false" outlineLevel="0" collapsed="false">
      <c r="A39" s="10" t="n">
        <v>8.65701937675476</v>
      </c>
      <c r="B39" s="11" t="n">
        <v>0</v>
      </c>
      <c r="C39" s="12" t="n">
        <f aca="false">B39*'Correction factors'!$B$7</f>
        <v>0</v>
      </c>
      <c r="D39" s="13" t="n">
        <v>1.05893</v>
      </c>
      <c r="E39" s="14" t="n">
        <v>0</v>
      </c>
      <c r="F39" s="10" t="n">
        <f aca="false">E39/'Correction factors'!$B$10</f>
        <v>0</v>
      </c>
      <c r="G39" s="11" t="n">
        <v>456</v>
      </c>
    </row>
    <row r="40" customFormat="false" ht="15" hidden="false" customHeight="false" outlineLevel="0" collapsed="false">
      <c r="A40" s="10" t="n">
        <v>9.10258054733276</v>
      </c>
      <c r="B40" s="11" t="n">
        <v>0</v>
      </c>
      <c r="C40" s="12" t="n">
        <f aca="false">B40*'Correction factors'!$B$7</f>
        <v>0</v>
      </c>
      <c r="D40" s="13" t="n">
        <v>1.05893</v>
      </c>
      <c r="E40" s="14" t="n">
        <v>0</v>
      </c>
      <c r="F40" s="10" t="n">
        <f aca="false">E40/'Correction factors'!$B$10</f>
        <v>0</v>
      </c>
      <c r="G40" s="11" t="n">
        <v>466</v>
      </c>
    </row>
    <row r="41" customFormat="false" ht="15" hidden="false" customHeight="false" outlineLevel="0" collapsed="false">
      <c r="A41" s="10" t="n">
        <v>9.10258054733276</v>
      </c>
      <c r="B41" s="11" t="n">
        <v>0</v>
      </c>
      <c r="C41" s="12" t="n">
        <f aca="false">B41*'Correction factors'!$B$7</f>
        <v>0</v>
      </c>
      <c r="D41" s="13" t="n">
        <v>1.05893</v>
      </c>
      <c r="E41" s="14" t="n">
        <v>0</v>
      </c>
      <c r="F41" s="10" t="n">
        <f aca="false">E41/'Correction factors'!$B$10</f>
        <v>0</v>
      </c>
      <c r="G41" s="11" t="n">
        <v>468</v>
      </c>
    </row>
    <row r="42" customFormat="false" ht="15" hidden="false" customHeight="false" outlineLevel="0" collapsed="false">
      <c r="A42" s="10" t="n">
        <v>9.10258054733276</v>
      </c>
      <c r="B42" s="11" t="n">
        <v>0</v>
      </c>
      <c r="C42" s="12" t="n">
        <f aca="false">B42*'Correction factors'!$B$7</f>
        <v>0</v>
      </c>
      <c r="D42" s="13" t="n">
        <v>1.068751</v>
      </c>
      <c r="E42" s="14" t="n">
        <v>0</v>
      </c>
      <c r="F42" s="10" t="n">
        <f aca="false">E42/'Correction factors'!$B$10</f>
        <v>0</v>
      </c>
      <c r="G42" s="11" t="n">
        <v>475</v>
      </c>
    </row>
    <row r="43" customFormat="false" ht="15" hidden="false" customHeight="false" outlineLevel="0" collapsed="false">
      <c r="A43" s="10" t="n">
        <v>9.56064867973328</v>
      </c>
      <c r="B43" s="11" t="n">
        <v>0</v>
      </c>
      <c r="C43" s="12" t="n">
        <f aca="false">B43*'Correction factors'!$B$7</f>
        <v>0</v>
      </c>
      <c r="D43" s="13" t="n">
        <v>1.05893</v>
      </c>
      <c r="E43" s="14" t="n">
        <v>0</v>
      </c>
      <c r="F43" s="10" t="n">
        <f aca="false">E43/'Correction factors'!$B$10</f>
        <v>0</v>
      </c>
      <c r="G43" s="11" t="n">
        <v>485</v>
      </c>
    </row>
    <row r="44" customFormat="false" ht="15" hidden="false" customHeight="false" outlineLevel="0" collapsed="false">
      <c r="A44" s="10" t="n">
        <v>9.56064867973328</v>
      </c>
      <c r="B44" s="11" t="n">
        <v>0</v>
      </c>
      <c r="C44" s="12" t="n">
        <f aca="false">B44*'Correction factors'!$B$7</f>
        <v>0</v>
      </c>
      <c r="D44" s="13" t="n">
        <v>1.05893</v>
      </c>
      <c r="E44" s="14" t="n">
        <v>0</v>
      </c>
      <c r="F44" s="10" t="n">
        <f aca="false">E44/'Correction factors'!$B$10</f>
        <v>0</v>
      </c>
      <c r="G44" s="11" t="n">
        <v>488</v>
      </c>
    </row>
    <row r="45" customFormat="false" ht="15" hidden="false" customHeight="false" outlineLevel="0" collapsed="false">
      <c r="A45" s="10" t="n">
        <v>9.97179055213928</v>
      </c>
      <c r="B45" s="11" t="n">
        <v>0</v>
      </c>
      <c r="C45" s="12" t="n">
        <f aca="false">B45*'Correction factors'!$B$7</f>
        <v>0</v>
      </c>
      <c r="D45" s="13" t="n">
        <v>1.049108</v>
      </c>
      <c r="E45" s="14" t="n">
        <v>0</v>
      </c>
      <c r="F45" s="10" t="n">
        <f aca="false">E45/'Correction factors'!$B$10</f>
        <v>0</v>
      </c>
      <c r="G45" s="11" t="n">
        <v>496</v>
      </c>
    </row>
    <row r="46" customFormat="false" ht="15" hidden="false" customHeight="false" outlineLevel="0" collapsed="false">
      <c r="A46" s="10" t="n">
        <v>9.97179055213928</v>
      </c>
      <c r="B46" s="11" t="n">
        <v>0</v>
      </c>
      <c r="C46" s="12" t="n">
        <f aca="false">B46*'Correction factors'!$B$7</f>
        <v>0</v>
      </c>
      <c r="D46" s="13" t="n">
        <v>1.05893</v>
      </c>
      <c r="E46" s="14" t="n">
        <v>0</v>
      </c>
      <c r="F46" s="10" t="n">
        <f aca="false">E46/'Correction factors'!$B$10</f>
        <v>0</v>
      </c>
      <c r="G46" s="11" t="n">
        <v>499</v>
      </c>
    </row>
    <row r="47" customFormat="false" ht="15" hidden="false" customHeight="false" outlineLevel="0" collapsed="false">
      <c r="A47" s="10" t="n">
        <v>10.38046002388</v>
      </c>
      <c r="B47" s="11" t="n">
        <v>0</v>
      </c>
      <c r="C47" s="12" t="n">
        <f aca="false">B47*'Correction factors'!$B$7</f>
        <v>0</v>
      </c>
      <c r="D47" s="13" t="n">
        <v>1.579474</v>
      </c>
      <c r="E47" s="14" t="n">
        <v>24</v>
      </c>
      <c r="F47" s="10" t="n">
        <f aca="false">E47/'Correction factors'!$B$10</f>
        <v>1.9356</v>
      </c>
      <c r="G47" s="11" t="n">
        <v>509</v>
      </c>
    </row>
    <row r="48" customFormat="false" ht="15" hidden="false" customHeight="false" outlineLevel="0" collapsed="false">
      <c r="A48" s="10" t="n">
        <v>10.38046002388</v>
      </c>
      <c r="B48" s="11" t="n">
        <v>0</v>
      </c>
      <c r="C48" s="12" t="n">
        <f aca="false">B48*'Correction factors'!$B$7</f>
        <v>0</v>
      </c>
      <c r="D48" s="13" t="n">
        <v>1.73662</v>
      </c>
      <c r="E48" s="14" t="n">
        <v>240</v>
      </c>
      <c r="F48" s="10" t="n">
        <f aca="false">E48/'Correction factors'!$B$10</f>
        <v>19.356</v>
      </c>
      <c r="G48" s="11" t="n">
        <v>509</v>
      </c>
    </row>
    <row r="49" customFormat="false" ht="15" hidden="false" customHeight="false" outlineLevel="0" collapsed="false">
      <c r="A49" s="10" t="n">
        <v>10.8201451301575</v>
      </c>
      <c r="B49" s="11" t="n">
        <v>0</v>
      </c>
      <c r="C49" s="12" t="n">
        <f aca="false">B49*'Correction factors'!$B$7</f>
        <v>0</v>
      </c>
      <c r="D49" s="13" t="n">
        <v>1.854479</v>
      </c>
      <c r="E49" s="14" t="n">
        <v>344</v>
      </c>
      <c r="F49" s="10" t="n">
        <f aca="false">E49/'Correction factors'!$B$10</f>
        <v>27.7436</v>
      </c>
      <c r="G49" s="11" t="n">
        <v>509</v>
      </c>
    </row>
    <row r="50" customFormat="false" ht="15" hidden="false" customHeight="false" outlineLevel="0" collapsed="false">
      <c r="A50" s="10" t="n">
        <v>10.8201451301575</v>
      </c>
      <c r="B50" s="11" t="n">
        <v>0</v>
      </c>
      <c r="C50" s="12" t="n">
        <f aca="false">B50*'Correction factors'!$B$7</f>
        <v>0</v>
      </c>
      <c r="D50" s="13" t="n">
        <v>1.972338</v>
      </c>
      <c r="E50" s="14" t="n">
        <v>376</v>
      </c>
      <c r="F50" s="10" t="n">
        <f aca="false">E50/'Correction factors'!$B$10</f>
        <v>30.3244</v>
      </c>
      <c r="G50" s="11" t="n">
        <v>509</v>
      </c>
    </row>
    <row r="51" customFormat="false" ht="15" hidden="false" customHeight="false" outlineLevel="0" collapsed="false">
      <c r="A51" s="10" t="n">
        <v>11.2789120674133</v>
      </c>
      <c r="B51" s="11" t="n">
        <v>0</v>
      </c>
      <c r="C51" s="12" t="n">
        <f aca="false">B51*'Correction factors'!$B$7</f>
        <v>0</v>
      </c>
      <c r="D51" s="13" t="n">
        <v>2.090197</v>
      </c>
      <c r="E51" s="14" t="n">
        <v>408</v>
      </c>
      <c r="F51" s="10" t="n">
        <f aca="false">E51/'Correction factors'!$B$10</f>
        <v>32.9052</v>
      </c>
      <c r="G51" s="11" t="n">
        <v>509</v>
      </c>
    </row>
    <row r="52" customFormat="false" ht="15" hidden="false" customHeight="false" outlineLevel="0" collapsed="false">
      <c r="A52" s="10" t="n">
        <v>11.2789120674133</v>
      </c>
      <c r="B52" s="11" t="n">
        <v>0</v>
      </c>
      <c r="C52" s="12" t="n">
        <f aca="false">B52*'Correction factors'!$B$7</f>
        <v>0</v>
      </c>
      <c r="D52" s="13" t="n">
        <v>2.198235</v>
      </c>
      <c r="E52" s="14" t="n">
        <v>432</v>
      </c>
      <c r="F52" s="10" t="n">
        <f aca="false">E52/'Correction factors'!$B$10</f>
        <v>34.8408</v>
      </c>
      <c r="G52" s="11" t="n">
        <v>509</v>
      </c>
    </row>
    <row r="53" customFormat="false" ht="15" hidden="false" customHeight="false" outlineLevel="0" collapsed="false">
      <c r="A53" s="10" t="n">
        <v>11.7164375782013</v>
      </c>
      <c r="B53" s="11" t="n">
        <v>40</v>
      </c>
      <c r="C53" s="12" t="n">
        <f aca="false">B53*'Correction factors'!$B$7</f>
        <v>193.56</v>
      </c>
      <c r="D53" s="13" t="n">
        <v>2.276807</v>
      </c>
      <c r="E53" s="14" t="n">
        <v>456</v>
      </c>
      <c r="F53" s="10" t="n">
        <f aca="false">E53/'Correction factors'!$B$10</f>
        <v>36.7764</v>
      </c>
      <c r="G53" s="11" t="n">
        <v>509</v>
      </c>
    </row>
    <row r="54" customFormat="false" ht="15" hidden="false" customHeight="false" outlineLevel="0" collapsed="false">
      <c r="A54" s="10" t="n">
        <v>11.7164375782013</v>
      </c>
      <c r="B54" s="11" t="n">
        <v>460</v>
      </c>
      <c r="C54" s="12" t="n">
        <f aca="false">B54*'Correction factors'!$B$7</f>
        <v>2225.94</v>
      </c>
      <c r="D54" s="13" t="n">
        <v>2.35538</v>
      </c>
      <c r="E54" s="14" t="n">
        <v>480</v>
      </c>
      <c r="F54" s="10" t="n">
        <f aca="false">E54/'Correction factors'!$B$10</f>
        <v>38.712</v>
      </c>
      <c r="G54" s="11" t="n">
        <v>509</v>
      </c>
    </row>
    <row r="55" customFormat="false" ht="15" hidden="false" customHeight="false" outlineLevel="0" collapsed="false">
      <c r="A55" s="10" t="n">
        <v>12.1541593074799</v>
      </c>
      <c r="B55" s="11" t="n">
        <v>540</v>
      </c>
      <c r="C55" s="12" t="n">
        <f aca="false">B55*'Correction factors'!$B$7</f>
        <v>2613.06</v>
      </c>
      <c r="D55" s="13" t="n">
        <v>2.424131</v>
      </c>
      <c r="E55" s="14" t="n">
        <v>496</v>
      </c>
      <c r="F55" s="10" t="n">
        <f aca="false">E55/'Correction factors'!$B$10</f>
        <v>40.0024</v>
      </c>
      <c r="G55" s="11" t="n">
        <v>509</v>
      </c>
    </row>
    <row r="56" customFormat="false" ht="15" hidden="false" customHeight="false" outlineLevel="0" collapsed="false">
      <c r="A56" s="10" t="n">
        <v>12.1541593074799</v>
      </c>
      <c r="B56" s="11" t="n">
        <v>560</v>
      </c>
      <c r="C56" s="12" t="n">
        <f aca="false">B56*'Correction factors'!$B$7</f>
        <v>2709.84</v>
      </c>
      <c r="D56" s="13" t="n">
        <v>2.483061</v>
      </c>
      <c r="E56" s="14" t="n">
        <v>512</v>
      </c>
      <c r="F56" s="10" t="n">
        <f aca="false">E56/'Correction factors'!$B$10</f>
        <v>41.2928</v>
      </c>
      <c r="G56" s="11" t="n">
        <v>509</v>
      </c>
    </row>
    <row r="57" customFormat="false" ht="15" hidden="false" customHeight="false" outlineLevel="0" collapsed="false">
      <c r="A57" s="10" t="n">
        <v>12.6041917800903</v>
      </c>
      <c r="B57" s="11" t="n">
        <v>580</v>
      </c>
      <c r="C57" s="12" t="n">
        <f aca="false">B57*'Correction factors'!$B$7</f>
        <v>2806.62</v>
      </c>
      <c r="D57" s="13" t="n">
        <v>2.522347</v>
      </c>
      <c r="E57" s="14" t="n">
        <v>520</v>
      </c>
      <c r="F57" s="10" t="n">
        <f aca="false">E57/'Correction factors'!$B$10</f>
        <v>41.938</v>
      </c>
      <c r="G57" s="11" t="n">
        <v>502</v>
      </c>
    </row>
    <row r="58" customFormat="false" ht="15" hidden="false" customHeight="false" outlineLevel="0" collapsed="false">
      <c r="A58" s="10" t="n">
        <v>12.6041917800903</v>
      </c>
      <c r="B58" s="11" t="n">
        <v>600</v>
      </c>
      <c r="C58" s="12" t="n">
        <f aca="false">B58*'Correction factors'!$B$7</f>
        <v>2903.4</v>
      </c>
      <c r="D58" s="13" t="n">
        <v>2.571455</v>
      </c>
      <c r="E58" s="14" t="n">
        <v>528</v>
      </c>
      <c r="F58" s="10" t="n">
        <f aca="false">E58/'Correction factors'!$B$10</f>
        <v>42.5832</v>
      </c>
      <c r="G58" s="11" t="n">
        <v>501</v>
      </c>
    </row>
    <row r="59" customFormat="false" ht="15" hidden="false" customHeight="false" outlineLevel="0" collapsed="false">
      <c r="A59" s="10" t="n">
        <v>12.6041917800903</v>
      </c>
      <c r="B59" s="11" t="n">
        <v>600</v>
      </c>
      <c r="C59" s="12" t="n">
        <f aca="false">B59*'Correction factors'!$B$7</f>
        <v>2903.4</v>
      </c>
      <c r="D59" s="13" t="n">
        <v>2.610742</v>
      </c>
      <c r="E59" s="14" t="n">
        <v>536</v>
      </c>
      <c r="F59" s="10" t="n">
        <f aca="false">E59/'Correction factors'!$B$10</f>
        <v>43.2284</v>
      </c>
      <c r="G59" s="11" t="n">
        <v>497</v>
      </c>
    </row>
    <row r="60" customFormat="false" ht="15" hidden="false" customHeight="false" outlineLevel="0" collapsed="false">
      <c r="A60" s="10" t="n">
        <v>13.0876905918121</v>
      </c>
      <c r="B60" s="11" t="n">
        <v>620</v>
      </c>
      <c r="C60" s="12" t="n">
        <f aca="false">B60*'Correction factors'!$B$7</f>
        <v>3000.18</v>
      </c>
      <c r="D60" s="13" t="n">
        <v>2.640206</v>
      </c>
      <c r="E60" s="14" t="n">
        <v>536</v>
      </c>
      <c r="F60" s="10" t="n">
        <f aca="false">E60/'Correction factors'!$B$10</f>
        <v>43.2284</v>
      </c>
      <c r="G60" s="11" t="n">
        <v>491</v>
      </c>
    </row>
    <row r="61" customFormat="false" ht="15" hidden="false" customHeight="false" outlineLevel="0" collapsed="false">
      <c r="A61" s="10" t="n">
        <v>13.0876905918121</v>
      </c>
      <c r="B61" s="11" t="n">
        <v>620</v>
      </c>
      <c r="C61" s="12" t="n">
        <f aca="false">B61*'Correction factors'!$B$7</f>
        <v>3000.18</v>
      </c>
      <c r="D61" s="13" t="n">
        <v>2.65985</v>
      </c>
      <c r="E61" s="14" t="n">
        <v>544</v>
      </c>
      <c r="F61" s="10" t="n">
        <f aca="false">E61/'Correction factors'!$B$10</f>
        <v>43.8736</v>
      </c>
      <c r="G61" s="11" t="n">
        <v>489</v>
      </c>
    </row>
    <row r="62" customFormat="false" ht="15" hidden="false" customHeight="false" outlineLevel="0" collapsed="false">
      <c r="A62" s="10" t="n">
        <v>13.5424010753632</v>
      </c>
      <c r="B62" s="11" t="n">
        <v>640</v>
      </c>
      <c r="C62" s="12" t="n">
        <f aca="false">B62*'Correction factors'!$B$7</f>
        <v>3096.96</v>
      </c>
      <c r="D62" s="13" t="n">
        <v>2.669671</v>
      </c>
      <c r="E62" s="14" t="n">
        <v>552</v>
      </c>
      <c r="F62" s="10" t="n">
        <f aca="false">E62/'Correction factors'!$B$10</f>
        <v>44.5188</v>
      </c>
      <c r="G62" s="11" t="n">
        <v>485</v>
      </c>
    </row>
    <row r="63" customFormat="false" ht="15" hidden="false" customHeight="false" outlineLevel="0" collapsed="false">
      <c r="A63" s="10" t="n">
        <v>13.5424010753632</v>
      </c>
      <c r="B63" s="11" t="n">
        <v>640</v>
      </c>
      <c r="C63" s="12" t="n">
        <f aca="false">B63*'Correction factors'!$B$7</f>
        <v>3096.96</v>
      </c>
      <c r="D63" s="13" t="n">
        <v>2.679493</v>
      </c>
      <c r="E63" s="14" t="n">
        <v>544</v>
      </c>
      <c r="F63" s="10" t="n">
        <f aca="false">E63/'Correction factors'!$B$10</f>
        <v>43.8736</v>
      </c>
      <c r="G63" s="11" t="n">
        <v>482</v>
      </c>
    </row>
    <row r="64" customFormat="false" ht="15" hidden="false" customHeight="false" outlineLevel="0" collapsed="false">
      <c r="A64" s="10" t="n">
        <v>13.9860370159149</v>
      </c>
      <c r="B64" s="11" t="n">
        <v>660</v>
      </c>
      <c r="C64" s="12" t="n">
        <f aca="false">B64*'Correction factors'!$B$7</f>
        <v>3193.74</v>
      </c>
      <c r="D64" s="13" t="n">
        <v>2.689314</v>
      </c>
      <c r="E64" s="14" t="n">
        <v>552</v>
      </c>
      <c r="F64" s="10" t="n">
        <f aca="false">E64/'Correction factors'!$B$10</f>
        <v>44.5188</v>
      </c>
      <c r="G64" s="11" t="n">
        <v>476</v>
      </c>
    </row>
    <row r="65" customFormat="false" ht="15" hidden="false" customHeight="false" outlineLevel="0" collapsed="false">
      <c r="A65" s="10" t="n">
        <v>13.9860370159149</v>
      </c>
      <c r="B65" s="11" t="n">
        <v>640</v>
      </c>
      <c r="C65" s="12" t="n">
        <f aca="false">B65*'Correction factors'!$B$7</f>
        <v>3096.96</v>
      </c>
      <c r="D65" s="13" t="n">
        <v>2.679493</v>
      </c>
      <c r="E65" s="14" t="n">
        <v>544</v>
      </c>
      <c r="F65" s="10" t="n">
        <f aca="false">E65/'Correction factors'!$B$10</f>
        <v>43.8736</v>
      </c>
      <c r="G65" s="11" t="n">
        <v>475</v>
      </c>
    </row>
    <row r="66" customFormat="false" ht="15" hidden="false" customHeight="false" outlineLevel="0" collapsed="false">
      <c r="A66" s="10" t="n">
        <v>14.4352610111237</v>
      </c>
      <c r="B66" s="11" t="n">
        <v>640</v>
      </c>
      <c r="C66" s="12" t="n">
        <f aca="false">B66*'Correction factors'!$B$7</f>
        <v>3096.96</v>
      </c>
      <c r="D66" s="13" t="n">
        <v>2.699136</v>
      </c>
      <c r="E66" s="14" t="n">
        <v>552</v>
      </c>
      <c r="F66" s="10" t="n">
        <f aca="false">E66/'Correction factors'!$B$10</f>
        <v>44.5188</v>
      </c>
      <c r="G66" s="11" t="n">
        <v>469</v>
      </c>
    </row>
    <row r="67" customFormat="false" ht="15" hidden="false" customHeight="false" outlineLevel="0" collapsed="false">
      <c r="A67" s="10" t="n">
        <v>14.4352610111237</v>
      </c>
      <c r="B67" s="11" t="n">
        <v>640</v>
      </c>
      <c r="C67" s="12" t="n">
        <f aca="false">B67*'Correction factors'!$B$7</f>
        <v>3096.96</v>
      </c>
      <c r="D67" s="13" t="n">
        <v>2.699136</v>
      </c>
      <c r="E67" s="14" t="n">
        <v>544</v>
      </c>
      <c r="F67" s="10" t="n">
        <f aca="false">E67/'Correction factors'!$B$10</f>
        <v>43.8736</v>
      </c>
      <c r="G67" s="11" t="n">
        <v>468</v>
      </c>
    </row>
    <row r="68" customFormat="false" ht="15" hidden="false" customHeight="false" outlineLevel="0" collapsed="false">
      <c r="A68" s="10" t="n">
        <v>14.8986370563507</v>
      </c>
      <c r="B68" s="11" t="n">
        <v>620</v>
      </c>
      <c r="C68" s="12" t="n">
        <f aca="false">B68*'Correction factors'!$B$7</f>
        <v>3000.18</v>
      </c>
      <c r="D68" s="13" t="n">
        <v>2.708957</v>
      </c>
      <c r="E68" s="14" t="n">
        <v>544</v>
      </c>
      <c r="F68" s="10" t="n">
        <f aca="false">E68/'Correction factors'!$B$10</f>
        <v>43.8736</v>
      </c>
      <c r="G68" s="11" t="n">
        <v>460</v>
      </c>
    </row>
    <row r="69" customFormat="false" ht="15" hidden="false" customHeight="false" outlineLevel="0" collapsed="false">
      <c r="A69" s="10" t="n">
        <v>14.8986370563507</v>
      </c>
      <c r="B69" s="11" t="n">
        <v>620</v>
      </c>
      <c r="C69" s="12" t="n">
        <f aca="false">B69*'Correction factors'!$B$7</f>
        <v>3000.18</v>
      </c>
      <c r="D69" s="13" t="n">
        <v>2.718779</v>
      </c>
      <c r="E69" s="14" t="n">
        <v>536</v>
      </c>
      <c r="F69" s="10" t="n">
        <f aca="false">E69/'Correction factors'!$B$10</f>
        <v>43.2284</v>
      </c>
      <c r="G69" s="11" t="n">
        <v>460</v>
      </c>
    </row>
    <row r="70" customFormat="false" ht="15" hidden="false" customHeight="false" outlineLevel="0" collapsed="false">
      <c r="A70" s="10" t="n">
        <v>14.8986370563507</v>
      </c>
      <c r="B70" s="11" t="n">
        <v>640</v>
      </c>
      <c r="C70" s="12" t="n">
        <f aca="false">B70*'Correction factors'!$B$7</f>
        <v>3096.96</v>
      </c>
      <c r="D70" s="13" t="n">
        <v>2.718779</v>
      </c>
      <c r="E70" s="14" t="n">
        <v>528</v>
      </c>
      <c r="F70" s="10" t="n">
        <f aca="false">E70/'Correction factors'!$B$10</f>
        <v>42.5832</v>
      </c>
      <c r="G70" s="11" t="n">
        <v>458</v>
      </c>
    </row>
    <row r="71" customFormat="false" ht="15" hidden="false" customHeight="false" outlineLevel="0" collapsed="false">
      <c r="A71" s="10" t="n">
        <v>15.3913168907166</v>
      </c>
      <c r="B71" s="11" t="n">
        <v>600</v>
      </c>
      <c r="C71" s="12" t="n">
        <f aca="false">B71*'Correction factors'!$B$7</f>
        <v>2903.4</v>
      </c>
      <c r="D71" s="13" t="n">
        <v>2.748244</v>
      </c>
      <c r="E71" s="14" t="n">
        <v>528</v>
      </c>
      <c r="F71" s="10" t="n">
        <f aca="false">E71/'Correction factors'!$B$10</f>
        <v>42.5832</v>
      </c>
      <c r="G71" s="11" t="n">
        <v>450</v>
      </c>
    </row>
    <row r="72" customFormat="false" ht="15" hidden="false" customHeight="false" outlineLevel="0" collapsed="false">
      <c r="A72" s="10" t="n">
        <v>15.3913168907166</v>
      </c>
      <c r="B72" s="11" t="n">
        <v>600</v>
      </c>
      <c r="C72" s="12" t="n">
        <f aca="false">B72*'Correction factors'!$B$7</f>
        <v>2903.4</v>
      </c>
      <c r="D72" s="13" t="n">
        <v>2.748244</v>
      </c>
      <c r="E72" s="14" t="n">
        <v>520</v>
      </c>
      <c r="F72" s="10" t="n">
        <f aca="false">E72/'Correction factors'!$B$10</f>
        <v>41.938</v>
      </c>
      <c r="G72" s="11" t="n">
        <v>450</v>
      </c>
    </row>
    <row r="73" customFormat="false" ht="15" hidden="false" customHeight="false" outlineLevel="0" collapsed="false">
      <c r="A73" s="10" t="n">
        <v>15.8921403884888</v>
      </c>
      <c r="B73" s="11" t="n">
        <v>620</v>
      </c>
      <c r="C73" s="12" t="n">
        <f aca="false">B73*'Correction factors'!$B$7</f>
        <v>3000.18</v>
      </c>
      <c r="D73" s="13" t="n">
        <v>2.738422</v>
      </c>
      <c r="E73" s="14" t="n">
        <v>520</v>
      </c>
      <c r="F73" s="10" t="n">
        <f aca="false">E73/'Correction factors'!$B$10</f>
        <v>41.938</v>
      </c>
      <c r="G73" s="11" t="n">
        <v>449</v>
      </c>
    </row>
    <row r="74" customFormat="false" ht="15" hidden="false" customHeight="false" outlineLevel="0" collapsed="false">
      <c r="A74" s="10" t="n">
        <v>15.8921403884888</v>
      </c>
      <c r="B74" s="11" t="n">
        <v>620</v>
      </c>
      <c r="C74" s="12" t="n">
        <f aca="false">B74*'Correction factors'!$B$7</f>
        <v>3000.18</v>
      </c>
      <c r="D74" s="13" t="n">
        <v>2.738422</v>
      </c>
      <c r="E74" s="14" t="n">
        <v>520</v>
      </c>
      <c r="F74" s="10" t="n">
        <f aca="false">E74/'Correction factors'!$B$10</f>
        <v>41.938</v>
      </c>
      <c r="G74" s="11" t="n">
        <v>447</v>
      </c>
    </row>
    <row r="75" customFormat="false" ht="15" hidden="false" customHeight="false" outlineLevel="0" collapsed="false">
      <c r="A75" s="10" t="n">
        <v>16.3500978946686</v>
      </c>
      <c r="B75" s="11" t="n">
        <v>620</v>
      </c>
      <c r="C75" s="12" t="n">
        <f aca="false">B75*'Correction factors'!$B$7</f>
        <v>3000.18</v>
      </c>
      <c r="D75" s="13" t="n">
        <v>2.748244</v>
      </c>
      <c r="E75" s="14" t="n">
        <v>520</v>
      </c>
      <c r="F75" s="10" t="n">
        <f aca="false">E75/'Correction factors'!$B$10</f>
        <v>41.938</v>
      </c>
      <c r="G75" s="11" t="n">
        <v>439</v>
      </c>
    </row>
    <row r="76" customFormat="false" ht="15" hidden="false" customHeight="false" outlineLevel="0" collapsed="false">
      <c r="A76" s="10" t="n">
        <v>16.3500978946686</v>
      </c>
      <c r="B76" s="11" t="n">
        <v>580</v>
      </c>
      <c r="C76" s="12" t="n">
        <f aca="false">B76*'Correction factors'!$B$7</f>
        <v>2806.62</v>
      </c>
      <c r="D76" s="13" t="n">
        <v>2.777709</v>
      </c>
      <c r="E76" s="14" t="n">
        <v>496</v>
      </c>
      <c r="F76" s="10" t="n">
        <f aca="false">E76/'Correction factors'!$B$10</f>
        <v>40.0024</v>
      </c>
      <c r="G76" s="11" t="n">
        <v>437</v>
      </c>
    </row>
    <row r="77" customFormat="false" ht="15" hidden="false" customHeight="false" outlineLevel="0" collapsed="false">
      <c r="A77" s="10" t="n">
        <v>16.3500978946686</v>
      </c>
      <c r="B77" s="11" t="n">
        <v>580</v>
      </c>
      <c r="C77" s="12" t="n">
        <f aca="false">B77*'Correction factors'!$B$7</f>
        <v>2806.62</v>
      </c>
      <c r="D77" s="13" t="n">
        <v>2.777709</v>
      </c>
      <c r="E77" s="14" t="n">
        <v>488</v>
      </c>
      <c r="F77" s="10" t="n">
        <f aca="false">E77/'Correction factors'!$B$10</f>
        <v>39.3572</v>
      </c>
      <c r="G77" s="11" t="n">
        <v>436</v>
      </c>
    </row>
    <row r="78" customFormat="false" ht="15" hidden="false" customHeight="false" outlineLevel="0" collapsed="false">
      <c r="A78" s="10" t="n">
        <v>16.8476417064667</v>
      </c>
      <c r="B78" s="11" t="n">
        <v>580</v>
      </c>
      <c r="C78" s="12" t="n">
        <f aca="false">B78*'Correction factors'!$B$7</f>
        <v>2806.62</v>
      </c>
      <c r="D78" s="13" t="n">
        <v>2.807174</v>
      </c>
      <c r="E78" s="14" t="n">
        <v>480</v>
      </c>
      <c r="F78" s="10" t="n">
        <f aca="false">E78/'Correction factors'!$B$10</f>
        <v>38.712</v>
      </c>
      <c r="G78" s="11" t="n">
        <v>432</v>
      </c>
    </row>
    <row r="79" customFormat="false" ht="15" hidden="false" customHeight="false" outlineLevel="0" collapsed="false">
      <c r="A79" s="10" t="n">
        <v>16.8476417064667</v>
      </c>
      <c r="B79" s="11" t="n">
        <v>580</v>
      </c>
      <c r="C79" s="12" t="n">
        <f aca="false">B79*'Correction factors'!$B$7</f>
        <v>2806.62</v>
      </c>
      <c r="D79" s="13" t="n">
        <v>2.816995</v>
      </c>
      <c r="E79" s="14" t="n">
        <v>464</v>
      </c>
      <c r="F79" s="10" t="n">
        <f aca="false">E79/'Correction factors'!$B$10</f>
        <v>37.4216</v>
      </c>
      <c r="G79" s="11" t="n">
        <v>432</v>
      </c>
    </row>
    <row r="80" customFormat="false" ht="15" hidden="false" customHeight="false" outlineLevel="0" collapsed="false">
      <c r="A80" s="10" t="n">
        <v>17.3098866939545</v>
      </c>
      <c r="B80" s="11" t="n">
        <v>560</v>
      </c>
      <c r="C80" s="12" t="n">
        <f aca="false">B80*'Correction factors'!$B$7</f>
        <v>2709.84</v>
      </c>
      <c r="D80" s="13" t="n">
        <v>2.836638</v>
      </c>
      <c r="E80" s="14" t="n">
        <v>464</v>
      </c>
      <c r="F80" s="10" t="n">
        <f aca="false">E80/'Correction factors'!$B$10</f>
        <v>37.4216</v>
      </c>
      <c r="G80" s="11" t="n">
        <v>427</v>
      </c>
    </row>
    <row r="81" customFormat="false" ht="15" hidden="false" customHeight="false" outlineLevel="0" collapsed="false">
      <c r="A81" s="10" t="n">
        <v>17.3098866939545</v>
      </c>
      <c r="B81" s="11" t="n">
        <v>560</v>
      </c>
      <c r="C81" s="12" t="n">
        <f aca="false">B81*'Correction factors'!$B$7</f>
        <v>2709.84</v>
      </c>
      <c r="D81" s="13" t="n">
        <v>2.836638</v>
      </c>
      <c r="E81" s="14" t="n">
        <v>440</v>
      </c>
      <c r="F81" s="10" t="n">
        <f aca="false">E81/'Correction factors'!$B$10</f>
        <v>35.486</v>
      </c>
      <c r="G81" s="11" t="n">
        <v>427</v>
      </c>
    </row>
    <row r="82" customFormat="false" ht="15" hidden="false" customHeight="false" outlineLevel="0" collapsed="false">
      <c r="A82" s="10" t="n">
        <v>17.7766063213348</v>
      </c>
      <c r="B82" s="11" t="n">
        <v>580</v>
      </c>
      <c r="C82" s="12" t="n">
        <f aca="false">B82*'Correction factors'!$B$7</f>
        <v>2806.62</v>
      </c>
      <c r="D82" s="13" t="n">
        <v>2.856282</v>
      </c>
      <c r="E82" s="14" t="n">
        <v>448</v>
      </c>
      <c r="F82" s="10" t="n">
        <f aca="false">E82/'Correction factors'!$B$10</f>
        <v>36.1312</v>
      </c>
      <c r="G82" s="11" t="n">
        <v>424</v>
      </c>
    </row>
    <row r="83" customFormat="false" ht="15" hidden="false" customHeight="false" outlineLevel="0" collapsed="false">
      <c r="A83" s="10" t="n">
        <v>17.7766063213348</v>
      </c>
      <c r="B83" s="11" t="n">
        <v>580</v>
      </c>
      <c r="C83" s="12" t="n">
        <f aca="false">B83*'Correction factors'!$B$7</f>
        <v>2806.62</v>
      </c>
      <c r="D83" s="13" t="n">
        <v>2.856282</v>
      </c>
      <c r="E83" s="14" t="n">
        <v>440</v>
      </c>
      <c r="F83" s="10" t="n">
        <f aca="false">E83/'Correction factors'!$B$10</f>
        <v>35.486</v>
      </c>
      <c r="G83" s="11" t="n">
        <v>423</v>
      </c>
    </row>
    <row r="84" customFormat="false" ht="15" hidden="false" customHeight="false" outlineLevel="0" collapsed="false">
      <c r="A84" s="10" t="n">
        <v>17.7766063213348</v>
      </c>
      <c r="B84" s="11" t="n">
        <v>560</v>
      </c>
      <c r="C84" s="12" t="n">
        <f aca="false">B84*'Correction factors'!$B$7</f>
        <v>2709.84</v>
      </c>
      <c r="D84" s="13" t="n">
        <v>2.875925</v>
      </c>
      <c r="E84" s="14" t="n">
        <v>432</v>
      </c>
      <c r="F84" s="10" t="n">
        <f aca="false">E84/'Correction factors'!$B$10</f>
        <v>34.8408</v>
      </c>
      <c r="G84" s="11" t="n">
        <v>417</v>
      </c>
    </row>
    <row r="85" customFormat="false" ht="15" hidden="false" customHeight="false" outlineLevel="0" collapsed="false">
      <c r="A85" s="10" t="n">
        <v>18.312718629837</v>
      </c>
      <c r="B85" s="11" t="n">
        <v>540</v>
      </c>
      <c r="C85" s="12" t="n">
        <f aca="false">B85*'Correction factors'!$B$7</f>
        <v>2613.06</v>
      </c>
      <c r="D85" s="13" t="n">
        <v>2.905389</v>
      </c>
      <c r="E85" s="14" t="n">
        <v>416</v>
      </c>
      <c r="F85" s="10" t="n">
        <f aca="false">E85/'Correction factors'!$B$10</f>
        <v>33.5504</v>
      </c>
      <c r="G85" s="11" t="n">
        <v>415</v>
      </c>
    </row>
    <row r="86" customFormat="false" ht="15" hidden="false" customHeight="false" outlineLevel="0" collapsed="false">
      <c r="A86" s="10" t="n">
        <v>18.312718629837</v>
      </c>
      <c r="B86" s="11" t="n">
        <v>560</v>
      </c>
      <c r="C86" s="12" t="n">
        <f aca="false">B86*'Correction factors'!$B$7</f>
        <v>2709.84</v>
      </c>
      <c r="D86" s="13" t="n">
        <v>2.915211</v>
      </c>
      <c r="E86" s="14" t="n">
        <v>400</v>
      </c>
      <c r="F86" s="10" t="n">
        <f aca="false">E86/'Correction factors'!$B$10</f>
        <v>32.26</v>
      </c>
      <c r="G86" s="11" t="n">
        <v>415</v>
      </c>
    </row>
    <row r="87" customFormat="false" ht="15" hidden="false" customHeight="false" outlineLevel="0" collapsed="false">
      <c r="A87" s="10" t="n">
        <v>18.7662551403046</v>
      </c>
      <c r="B87" s="11" t="n">
        <v>540</v>
      </c>
      <c r="C87" s="12" t="n">
        <f aca="false">B87*'Correction factors'!$B$7</f>
        <v>2613.06</v>
      </c>
      <c r="D87" s="13" t="n">
        <v>2.944676</v>
      </c>
      <c r="E87" s="14" t="n">
        <v>400</v>
      </c>
      <c r="F87" s="10" t="n">
        <f aca="false">E87/'Correction factors'!$B$10</f>
        <v>32.26</v>
      </c>
      <c r="G87" s="11" t="n">
        <v>411</v>
      </c>
    </row>
    <row r="88" customFormat="false" ht="15" hidden="false" customHeight="false" outlineLevel="0" collapsed="false">
      <c r="A88" s="10" t="n">
        <v>18.7662551403046</v>
      </c>
      <c r="B88" s="11" t="n">
        <v>540</v>
      </c>
      <c r="C88" s="12" t="n">
        <f aca="false">B88*'Correction factors'!$B$7</f>
        <v>2613.06</v>
      </c>
      <c r="D88" s="13" t="n">
        <v>2.954497</v>
      </c>
      <c r="E88" s="14" t="n">
        <v>392</v>
      </c>
      <c r="F88" s="10" t="n">
        <f aca="false">E88/'Correction factors'!$B$10</f>
        <v>31.6148</v>
      </c>
      <c r="G88" s="11" t="n">
        <v>410</v>
      </c>
    </row>
    <row r="89" customFormat="false" ht="15" hidden="false" customHeight="false" outlineLevel="0" collapsed="false">
      <c r="A89" s="10" t="n">
        <v>19.2339401245117</v>
      </c>
      <c r="B89" s="11" t="n">
        <v>540</v>
      </c>
      <c r="C89" s="12" t="n">
        <f aca="false">B89*'Correction factors'!$B$7</f>
        <v>2613.06</v>
      </c>
      <c r="D89" s="13" t="n">
        <v>2.964319</v>
      </c>
      <c r="E89" s="14" t="n">
        <v>384</v>
      </c>
      <c r="F89" s="10" t="n">
        <f aca="false">E89/'Correction factors'!$B$10</f>
        <v>30.9696</v>
      </c>
      <c r="G89" s="11" t="n">
        <v>410</v>
      </c>
    </row>
    <row r="90" customFormat="false" ht="15" hidden="false" customHeight="false" outlineLevel="0" collapsed="false">
      <c r="A90" s="10" t="n">
        <v>19.2339401245117</v>
      </c>
      <c r="B90" s="11" t="n">
        <v>540</v>
      </c>
      <c r="C90" s="12" t="n">
        <f aca="false">B90*'Correction factors'!$B$7</f>
        <v>2613.06</v>
      </c>
      <c r="D90" s="13" t="n">
        <v>2.974141</v>
      </c>
      <c r="E90" s="14" t="n">
        <v>384</v>
      </c>
      <c r="F90" s="10" t="n">
        <f aca="false">E90/'Correction factors'!$B$10</f>
        <v>30.9696</v>
      </c>
      <c r="G90" s="11" t="n">
        <v>409</v>
      </c>
    </row>
    <row r="91" customFormat="false" ht="15" hidden="false" customHeight="false" outlineLevel="0" collapsed="false">
      <c r="A91" s="10" t="n">
        <v>19.2339401245117</v>
      </c>
      <c r="B91" s="11" t="n">
        <v>520</v>
      </c>
      <c r="C91" s="12" t="n">
        <f aca="false">B91*'Correction factors'!$B$7</f>
        <v>2516.28</v>
      </c>
      <c r="D91" s="13" t="n">
        <v>2.974141</v>
      </c>
      <c r="E91" s="14" t="n">
        <v>392</v>
      </c>
      <c r="F91" s="10" t="n">
        <f aca="false">E91/'Correction factors'!$B$10</f>
        <v>31.6148</v>
      </c>
      <c r="G91" s="11" t="n">
        <v>404</v>
      </c>
    </row>
    <row r="92" customFormat="false" ht="15" hidden="false" customHeight="false" outlineLevel="0" collapsed="false">
      <c r="A92" s="10" t="n">
        <v>19.7574760913849</v>
      </c>
      <c r="B92" s="11" t="n">
        <v>520</v>
      </c>
      <c r="C92" s="12" t="n">
        <f aca="false">B92*'Correction factors'!$B$7</f>
        <v>2516.28</v>
      </c>
      <c r="D92" s="13" t="n">
        <v>3.013427</v>
      </c>
      <c r="E92" s="14" t="n">
        <v>376</v>
      </c>
      <c r="F92" s="10" t="n">
        <f aca="false">E92/'Correction factors'!$B$10</f>
        <v>30.3244</v>
      </c>
      <c r="G92" s="11" t="n">
        <v>404</v>
      </c>
    </row>
    <row r="93" customFormat="false" ht="15" hidden="false" customHeight="false" outlineLevel="0" collapsed="false">
      <c r="A93" s="10" t="n">
        <v>19.7574760913849</v>
      </c>
      <c r="B93" s="11" t="n">
        <v>500</v>
      </c>
      <c r="C93" s="12" t="n">
        <f aca="false">B93*'Correction factors'!$B$7</f>
        <v>2419.5</v>
      </c>
      <c r="D93" s="13" t="n">
        <v>3.023248</v>
      </c>
      <c r="E93" s="14" t="n">
        <v>368</v>
      </c>
      <c r="F93" s="10" t="n">
        <f aca="false">E93/'Correction factors'!$B$10</f>
        <v>29.6792</v>
      </c>
      <c r="G93" s="11" t="n">
        <v>403</v>
      </c>
    </row>
    <row r="94" customFormat="false" ht="15" hidden="false" customHeight="false" outlineLevel="0" collapsed="false">
      <c r="A94" s="10" t="n">
        <v>20.2643730640411</v>
      </c>
      <c r="B94" s="11" t="n">
        <v>540</v>
      </c>
      <c r="C94" s="12" t="n">
        <f aca="false">B94*'Correction factors'!$B$7</f>
        <v>2613.06</v>
      </c>
      <c r="D94" s="13" t="n">
        <v>3.03307</v>
      </c>
      <c r="E94" s="14" t="n">
        <v>368</v>
      </c>
      <c r="F94" s="10" t="n">
        <f aca="false">E94/'Correction factors'!$B$10</f>
        <v>29.6792</v>
      </c>
      <c r="G94" s="11" t="n">
        <v>403</v>
      </c>
    </row>
    <row r="95" customFormat="false" ht="15" hidden="false" customHeight="false" outlineLevel="0" collapsed="false">
      <c r="A95" s="10" t="n">
        <v>20.2643730640411</v>
      </c>
      <c r="B95" s="11" t="n">
        <v>540</v>
      </c>
      <c r="C95" s="12" t="n">
        <f aca="false">B95*'Correction factors'!$B$7</f>
        <v>2613.06</v>
      </c>
      <c r="D95" s="13" t="n">
        <v>3.03307</v>
      </c>
      <c r="E95" s="14" t="n">
        <v>360</v>
      </c>
      <c r="F95" s="10" t="n">
        <f aca="false">E95/'Correction factors'!$B$10</f>
        <v>29.034</v>
      </c>
      <c r="G95" s="11" t="n">
        <v>401</v>
      </c>
    </row>
    <row r="96" customFormat="false" ht="15" hidden="false" customHeight="false" outlineLevel="0" collapsed="false">
      <c r="A96" s="10" t="n">
        <v>20.705400466919</v>
      </c>
      <c r="B96" s="11" t="n">
        <v>520</v>
      </c>
      <c r="C96" s="12" t="n">
        <f aca="false">B96*'Correction factors'!$B$7</f>
        <v>2516.28</v>
      </c>
      <c r="D96" s="13" t="n">
        <v>3.042892</v>
      </c>
      <c r="E96" s="14" t="n">
        <v>368</v>
      </c>
      <c r="F96" s="10" t="n">
        <f aca="false">E96/'Correction factors'!$B$10</f>
        <v>29.6792</v>
      </c>
      <c r="G96" s="11" t="n">
        <v>395</v>
      </c>
    </row>
    <row r="97" customFormat="false" ht="15" hidden="false" customHeight="false" outlineLevel="0" collapsed="false">
      <c r="A97" s="10" t="n">
        <v>20.705400466919</v>
      </c>
      <c r="B97" s="11" t="n">
        <v>500</v>
      </c>
      <c r="C97" s="12" t="n">
        <f aca="false">B97*'Correction factors'!$B$7</f>
        <v>2419.5</v>
      </c>
      <c r="D97" s="13" t="n">
        <v>3.062535</v>
      </c>
      <c r="E97" s="14" t="n">
        <v>344</v>
      </c>
      <c r="F97" s="10" t="n">
        <f aca="false">E97/'Correction factors'!$B$10</f>
        <v>27.7436</v>
      </c>
      <c r="G97" s="11" t="n">
        <v>395</v>
      </c>
    </row>
    <row r="98" customFormat="false" ht="15" hidden="false" customHeight="false" outlineLevel="0" collapsed="false">
      <c r="A98" s="10" t="n">
        <v>20.705400466919</v>
      </c>
      <c r="B98" s="11" t="n">
        <v>480</v>
      </c>
      <c r="C98" s="12" t="n">
        <f aca="false">B98*'Correction factors'!$B$7</f>
        <v>2322.72</v>
      </c>
      <c r="D98" s="13" t="n">
        <v>3.092</v>
      </c>
      <c r="E98" s="14" t="n">
        <v>336</v>
      </c>
      <c r="F98" s="10" t="n">
        <f aca="false">E98/'Correction factors'!$B$10</f>
        <v>27.0984</v>
      </c>
      <c r="G98" s="11" t="n">
        <v>394</v>
      </c>
    </row>
    <row r="99" customFormat="false" ht="15" hidden="false" customHeight="false" outlineLevel="0" collapsed="false">
      <c r="A99" s="10" t="n">
        <v>21.1849758625031</v>
      </c>
      <c r="B99" s="11" t="n">
        <v>480</v>
      </c>
      <c r="C99" s="12" t="n">
        <f aca="false">B99*'Correction factors'!$B$7</f>
        <v>2322.72</v>
      </c>
      <c r="D99" s="13" t="n">
        <v>3.101821</v>
      </c>
      <c r="E99" s="14" t="n">
        <v>328</v>
      </c>
      <c r="F99" s="10" t="n">
        <f aca="false">E99/'Correction factors'!$B$10</f>
        <v>26.4532</v>
      </c>
      <c r="G99" s="11" t="n">
        <v>395</v>
      </c>
    </row>
    <row r="100" customFormat="false" ht="15" hidden="false" customHeight="false" outlineLevel="0" collapsed="false">
      <c r="A100" s="10" t="n">
        <v>21.1849758625031</v>
      </c>
      <c r="B100" s="11" t="n">
        <v>460</v>
      </c>
      <c r="C100" s="12" t="n">
        <f aca="false">B100*'Correction factors'!$B$7</f>
        <v>2225.94</v>
      </c>
      <c r="D100" s="13" t="n">
        <v>3.121464</v>
      </c>
      <c r="E100" s="14" t="n">
        <v>328</v>
      </c>
      <c r="F100" s="10" t="n">
        <f aca="false">E100/'Correction factors'!$B$10</f>
        <v>26.4532</v>
      </c>
      <c r="G100" s="11" t="n">
        <v>394</v>
      </c>
    </row>
    <row r="101" customFormat="false" ht="15" hidden="false" customHeight="false" outlineLevel="0" collapsed="false">
      <c r="A101" s="10" t="n">
        <v>21.6338868141174</v>
      </c>
      <c r="B101" s="11" t="n">
        <v>480</v>
      </c>
      <c r="C101" s="12" t="n">
        <f aca="false">B101*'Correction factors'!$B$7</f>
        <v>2322.72</v>
      </c>
      <c r="D101" s="13" t="n">
        <v>3.111643</v>
      </c>
      <c r="E101" s="14" t="n">
        <v>336</v>
      </c>
      <c r="F101" s="10" t="n">
        <f aca="false">E101/'Correction factors'!$B$10</f>
        <v>27.0984</v>
      </c>
      <c r="G101" s="11" t="n">
        <v>394</v>
      </c>
    </row>
    <row r="102" customFormat="false" ht="15" hidden="false" customHeight="false" outlineLevel="0" collapsed="false">
      <c r="A102" s="10" t="n">
        <v>21.6338868141174</v>
      </c>
      <c r="B102" s="11" t="n">
        <v>480</v>
      </c>
      <c r="C102" s="12" t="n">
        <f aca="false">B102*'Correction factors'!$B$7</f>
        <v>2322.72</v>
      </c>
      <c r="D102" s="13" t="n">
        <v>3.131286</v>
      </c>
      <c r="E102" s="14" t="n">
        <v>328</v>
      </c>
      <c r="F102" s="10" t="n">
        <f aca="false">E102/'Correction factors'!$B$10</f>
        <v>26.4532</v>
      </c>
      <c r="G102" s="11" t="n">
        <v>394</v>
      </c>
    </row>
    <row r="103" customFormat="false" ht="15" hidden="false" customHeight="false" outlineLevel="0" collapsed="false">
      <c r="A103" s="10" t="n">
        <v>22.0846037864685</v>
      </c>
      <c r="B103" s="11" t="n">
        <v>480</v>
      </c>
      <c r="C103" s="12" t="n">
        <f aca="false">B103*'Correction factors'!$B$7</f>
        <v>2322.72</v>
      </c>
      <c r="D103" s="13" t="n">
        <v>3.131286</v>
      </c>
      <c r="E103" s="14" t="n">
        <v>336</v>
      </c>
      <c r="F103" s="10" t="n">
        <f aca="false">E103/'Correction factors'!$B$10</f>
        <v>27.0984</v>
      </c>
      <c r="G103" s="11" t="n">
        <v>391</v>
      </c>
    </row>
    <row r="104" customFormat="false" ht="15" hidden="false" customHeight="false" outlineLevel="0" collapsed="false">
      <c r="A104" s="10" t="n">
        <v>22.0846037864685</v>
      </c>
      <c r="B104" s="11" t="n">
        <v>480</v>
      </c>
      <c r="C104" s="12" t="n">
        <f aca="false">B104*'Correction factors'!$B$7</f>
        <v>2322.72</v>
      </c>
      <c r="D104" s="13" t="n">
        <v>3.131286</v>
      </c>
      <c r="E104" s="14" t="n">
        <v>320</v>
      </c>
      <c r="F104" s="10" t="n">
        <f aca="false">E104/'Correction factors'!$B$10</f>
        <v>25.808</v>
      </c>
      <c r="G104" s="11" t="n">
        <v>390</v>
      </c>
    </row>
    <row r="105" customFormat="false" ht="15" hidden="false" customHeight="false" outlineLevel="0" collapsed="false">
      <c r="A105" s="10" t="n">
        <v>22.5293583869934</v>
      </c>
      <c r="B105" s="11" t="n">
        <v>460</v>
      </c>
      <c r="C105" s="12" t="n">
        <f aca="false">B105*'Correction factors'!$B$7</f>
        <v>2225.94</v>
      </c>
      <c r="D105" s="13" t="n">
        <v>3.141108</v>
      </c>
      <c r="E105" s="14" t="n">
        <v>328</v>
      </c>
      <c r="F105" s="10" t="n">
        <f aca="false">E105/'Correction factors'!$B$10</f>
        <v>26.4532</v>
      </c>
      <c r="G105" s="11" t="n">
        <v>389</v>
      </c>
    </row>
    <row r="106" customFormat="false" ht="15" hidden="false" customHeight="false" outlineLevel="0" collapsed="false">
      <c r="A106" s="10" t="n">
        <v>22.5293583869934</v>
      </c>
      <c r="B106" s="11" t="n">
        <v>480</v>
      </c>
      <c r="C106" s="12" t="n">
        <f aca="false">B106*'Correction factors'!$B$7</f>
        <v>2322.72</v>
      </c>
      <c r="D106" s="13" t="n">
        <v>3.131286</v>
      </c>
      <c r="E106" s="14" t="n">
        <v>320</v>
      </c>
      <c r="F106" s="10" t="n">
        <f aca="false">E106/'Correction factors'!$B$10</f>
        <v>25.808</v>
      </c>
      <c r="G106" s="11" t="n">
        <v>389</v>
      </c>
    </row>
    <row r="107" customFormat="false" ht="15" hidden="false" customHeight="false" outlineLevel="0" collapsed="false">
      <c r="A107" s="10" t="n">
        <v>22.9539060592651</v>
      </c>
      <c r="B107" s="11" t="n">
        <v>480</v>
      </c>
      <c r="C107" s="12" t="n">
        <f aca="false">B107*'Correction factors'!$B$7</f>
        <v>2322.72</v>
      </c>
      <c r="D107" s="13" t="n">
        <v>3.150929</v>
      </c>
      <c r="E107" s="14" t="n">
        <v>312</v>
      </c>
      <c r="F107" s="10" t="n">
        <f aca="false">E107/'Correction factors'!$B$10</f>
        <v>25.1628</v>
      </c>
      <c r="G107" s="11" t="n">
        <v>388</v>
      </c>
    </row>
    <row r="108" customFormat="false" ht="15" hidden="false" customHeight="false" outlineLevel="0" collapsed="false">
      <c r="A108" s="10" t="n">
        <v>22.9539060592651</v>
      </c>
      <c r="B108" s="11" t="n">
        <v>460</v>
      </c>
      <c r="C108" s="12" t="n">
        <f aca="false">B108*'Correction factors'!$B$7</f>
        <v>2225.94</v>
      </c>
      <c r="D108" s="13" t="n">
        <v>3.150929</v>
      </c>
      <c r="E108" s="14" t="n">
        <v>320</v>
      </c>
      <c r="F108" s="10" t="n">
        <f aca="false">E108/'Correction factors'!$B$10</f>
        <v>25.808</v>
      </c>
      <c r="G108" s="11" t="n">
        <v>387</v>
      </c>
    </row>
    <row r="109" customFormat="false" ht="15" hidden="false" customHeight="false" outlineLevel="0" collapsed="false">
      <c r="A109" s="10" t="n">
        <v>22.9539060592651</v>
      </c>
      <c r="B109" s="11" t="n">
        <v>480</v>
      </c>
      <c r="C109" s="12" t="n">
        <f aca="false">B109*'Correction factors'!$B$7</f>
        <v>2322.72</v>
      </c>
      <c r="D109" s="13" t="n">
        <v>3.141108</v>
      </c>
      <c r="E109" s="14" t="n">
        <v>312</v>
      </c>
      <c r="F109" s="10" t="n">
        <f aca="false">E109/'Correction factors'!$B$10</f>
        <v>25.1628</v>
      </c>
      <c r="G109" s="11" t="n">
        <v>387</v>
      </c>
    </row>
    <row r="110" customFormat="false" ht="15" hidden="false" customHeight="false" outlineLevel="0" collapsed="false">
      <c r="A110" s="10" t="n">
        <v>23.4468519687653</v>
      </c>
      <c r="B110" s="11" t="n">
        <v>440</v>
      </c>
      <c r="C110" s="12" t="n">
        <f aca="false">B110*'Correction factors'!$B$7</f>
        <v>2129.16</v>
      </c>
      <c r="D110" s="13" t="n">
        <v>3.160751</v>
      </c>
      <c r="E110" s="14" t="n">
        <v>304</v>
      </c>
      <c r="F110" s="10" t="n">
        <f aca="false">E110/'Correction factors'!$B$10</f>
        <v>24.5176</v>
      </c>
      <c r="G110" s="11" t="n">
        <v>382</v>
      </c>
    </row>
    <row r="111" customFormat="false" ht="15" hidden="false" customHeight="false" outlineLevel="0" collapsed="false">
      <c r="A111" s="10" t="n">
        <v>23.4468519687653</v>
      </c>
      <c r="B111" s="11" t="n">
        <v>440</v>
      </c>
      <c r="C111" s="12" t="n">
        <f aca="false">B111*'Correction factors'!$B$7</f>
        <v>2129.16</v>
      </c>
      <c r="D111" s="13" t="n">
        <v>3.180394</v>
      </c>
      <c r="E111" s="14" t="n">
        <v>288</v>
      </c>
      <c r="F111" s="10" t="n">
        <f aca="false">E111/'Correction factors'!$B$10</f>
        <v>23.2272</v>
      </c>
      <c r="G111" s="11" t="n">
        <v>383</v>
      </c>
    </row>
    <row r="112" customFormat="false" ht="15" hidden="false" customHeight="false" outlineLevel="0" collapsed="false">
      <c r="A112" s="10" t="n">
        <v>23.8661704063416</v>
      </c>
      <c r="B112" s="11" t="n">
        <v>440</v>
      </c>
      <c r="C112" s="12" t="n">
        <f aca="false">B112*'Correction factors'!$B$7</f>
        <v>2129.16</v>
      </c>
      <c r="D112" s="13" t="n">
        <v>3.190216</v>
      </c>
      <c r="E112" s="14" t="n">
        <v>288</v>
      </c>
      <c r="F112" s="10" t="n">
        <f aca="false">E112/'Correction factors'!$B$10</f>
        <v>23.2272</v>
      </c>
      <c r="G112" s="11" t="n">
        <v>383</v>
      </c>
    </row>
    <row r="113" customFormat="false" ht="15" hidden="false" customHeight="false" outlineLevel="0" collapsed="false">
      <c r="A113" s="10" t="n">
        <v>23.8661704063416</v>
      </c>
      <c r="B113" s="11" t="n">
        <v>460</v>
      </c>
      <c r="C113" s="12" t="n">
        <f aca="false">B113*'Correction factors'!$B$7</f>
        <v>2225.94</v>
      </c>
      <c r="D113" s="13" t="n">
        <v>3.190216</v>
      </c>
      <c r="E113" s="14" t="n">
        <v>288</v>
      </c>
      <c r="F113" s="10" t="n">
        <f aca="false">E113/'Correction factors'!$B$10</f>
        <v>23.2272</v>
      </c>
      <c r="G113" s="11" t="n">
        <v>385</v>
      </c>
    </row>
    <row r="114" customFormat="false" ht="15" hidden="false" customHeight="false" outlineLevel="0" collapsed="false">
      <c r="A114" s="10" t="n">
        <v>24.3059170246124</v>
      </c>
      <c r="B114" s="11" t="n">
        <v>460</v>
      </c>
      <c r="C114" s="12" t="n">
        <f aca="false">B114*'Correction factors'!$B$7</f>
        <v>2225.94</v>
      </c>
      <c r="D114" s="13" t="n">
        <v>3.200037</v>
      </c>
      <c r="E114" s="14" t="n">
        <v>288</v>
      </c>
      <c r="F114" s="10" t="n">
        <f aca="false">E114/'Correction factors'!$B$10</f>
        <v>23.2272</v>
      </c>
      <c r="G114" s="11" t="n">
        <v>382</v>
      </c>
    </row>
    <row r="115" customFormat="false" ht="15" hidden="false" customHeight="false" outlineLevel="0" collapsed="false">
      <c r="A115" s="10" t="n">
        <v>24.3059170246124</v>
      </c>
      <c r="B115" s="11" t="n">
        <v>440</v>
      </c>
      <c r="C115" s="12" t="n">
        <f aca="false">B115*'Correction factors'!$B$7</f>
        <v>2129.16</v>
      </c>
      <c r="D115" s="13" t="n">
        <v>3.200037</v>
      </c>
      <c r="E115" s="14" t="n">
        <v>280</v>
      </c>
      <c r="F115" s="10" t="n">
        <f aca="false">E115/'Correction factors'!$B$10</f>
        <v>22.582</v>
      </c>
      <c r="G115" s="11" t="n">
        <v>381</v>
      </c>
    </row>
    <row r="116" customFormat="false" ht="15" hidden="false" customHeight="false" outlineLevel="0" collapsed="false">
      <c r="A116" s="10" t="n">
        <v>24.7619986534119</v>
      </c>
      <c r="B116" s="11" t="n">
        <v>440</v>
      </c>
      <c r="C116" s="12" t="n">
        <f aca="false">B116*'Correction factors'!$B$7</f>
        <v>2129.16</v>
      </c>
      <c r="D116" s="13" t="n">
        <v>3.200037</v>
      </c>
      <c r="E116" s="14" t="n">
        <v>288</v>
      </c>
      <c r="F116" s="10" t="n">
        <f aca="false">E116/'Correction factors'!$B$10</f>
        <v>23.2272</v>
      </c>
      <c r="G116" s="11" t="n">
        <v>381</v>
      </c>
    </row>
    <row r="117" customFormat="false" ht="15" hidden="false" customHeight="false" outlineLevel="0" collapsed="false">
      <c r="A117" s="10" t="n">
        <v>24.7619986534119</v>
      </c>
      <c r="B117" s="11" t="n">
        <v>420</v>
      </c>
      <c r="C117" s="12" t="n">
        <f aca="false">B117*'Correction factors'!$B$7</f>
        <v>2032.38</v>
      </c>
      <c r="D117" s="13" t="n">
        <v>3.200037</v>
      </c>
      <c r="E117" s="14" t="n">
        <v>280</v>
      </c>
      <c r="F117" s="10" t="n">
        <f aca="false">E117/'Correction factors'!$B$10</f>
        <v>22.582</v>
      </c>
      <c r="G117" s="11" t="n">
        <v>381</v>
      </c>
    </row>
    <row r="118" customFormat="false" ht="15" hidden="false" customHeight="false" outlineLevel="0" collapsed="false">
      <c r="A118" s="10" t="n">
        <v>25.1818482875824</v>
      </c>
      <c r="B118" s="11" t="n">
        <v>420</v>
      </c>
      <c r="C118" s="12" t="n">
        <f aca="false">B118*'Correction factors'!$B$7</f>
        <v>2032.38</v>
      </c>
      <c r="D118" s="13" t="n">
        <v>3.209859</v>
      </c>
      <c r="E118" s="14" t="n">
        <v>288</v>
      </c>
      <c r="F118" s="10" t="n">
        <f aca="false">E118/'Correction factors'!$B$10</f>
        <v>23.2272</v>
      </c>
      <c r="G118" s="11" t="n">
        <v>381</v>
      </c>
    </row>
    <row r="119" customFormat="false" ht="15" hidden="false" customHeight="false" outlineLevel="0" collapsed="false">
      <c r="A119" s="10" t="n">
        <v>25.1818482875824</v>
      </c>
      <c r="B119" s="11" t="n">
        <v>420</v>
      </c>
      <c r="C119" s="12" t="n">
        <f aca="false">B119*'Correction factors'!$B$7</f>
        <v>2032.38</v>
      </c>
      <c r="D119" s="13" t="n">
        <v>3.200037</v>
      </c>
      <c r="E119" s="14" t="n">
        <v>288</v>
      </c>
      <c r="F119" s="10" t="n">
        <f aca="false">E119/'Correction factors'!$B$10</f>
        <v>23.2272</v>
      </c>
      <c r="G119" s="11" t="n">
        <v>381</v>
      </c>
    </row>
    <row r="120" customFormat="false" ht="15" hidden="false" customHeight="false" outlineLevel="0" collapsed="false">
      <c r="A120" s="10" t="n">
        <v>25.6303465366364</v>
      </c>
      <c r="B120" s="11" t="n">
        <v>420</v>
      </c>
      <c r="C120" s="12" t="n">
        <f aca="false">B120*'Correction factors'!$B$7</f>
        <v>2032.38</v>
      </c>
      <c r="D120" s="13" t="n">
        <v>3.200037</v>
      </c>
      <c r="E120" s="14" t="n">
        <v>288</v>
      </c>
      <c r="F120" s="10" t="n">
        <f aca="false">E120/'Correction factors'!$B$10</f>
        <v>23.2272</v>
      </c>
      <c r="G120" s="11" t="n">
        <v>380</v>
      </c>
    </row>
    <row r="121" customFormat="false" ht="15" hidden="false" customHeight="false" outlineLevel="0" collapsed="false">
      <c r="A121" s="10" t="n">
        <v>25.6303465366364</v>
      </c>
      <c r="B121" s="11" t="n">
        <v>420</v>
      </c>
      <c r="C121" s="12" t="n">
        <f aca="false">B121*'Correction factors'!$B$7</f>
        <v>2032.38</v>
      </c>
      <c r="D121" s="13" t="n">
        <v>3.209859</v>
      </c>
      <c r="E121" s="14" t="n">
        <v>280</v>
      </c>
      <c r="F121" s="10" t="n">
        <f aca="false">E121/'Correction factors'!$B$10</f>
        <v>22.582</v>
      </c>
      <c r="G121" s="11" t="n">
        <v>380</v>
      </c>
    </row>
    <row r="122" customFormat="false" ht="15" hidden="false" customHeight="false" outlineLevel="0" collapsed="false">
      <c r="A122" s="10" t="n">
        <v>26.072690486908</v>
      </c>
      <c r="B122" s="11" t="n">
        <v>420</v>
      </c>
      <c r="C122" s="12" t="n">
        <f aca="false">B122*'Correction factors'!$B$7</f>
        <v>2032.38</v>
      </c>
      <c r="D122" s="13" t="n">
        <v>3.209859</v>
      </c>
      <c r="E122" s="14" t="n">
        <v>288</v>
      </c>
      <c r="F122" s="10" t="n">
        <f aca="false">E122/'Correction factors'!$B$10</f>
        <v>23.2272</v>
      </c>
      <c r="G122" s="11" t="n">
        <v>380</v>
      </c>
    </row>
    <row r="123" customFormat="false" ht="15" hidden="false" customHeight="false" outlineLevel="0" collapsed="false">
      <c r="A123" s="10" t="n">
        <v>26.072690486908</v>
      </c>
      <c r="B123" s="11" t="n">
        <v>420</v>
      </c>
      <c r="C123" s="12" t="n">
        <f aca="false">B123*'Correction factors'!$B$7</f>
        <v>2032.38</v>
      </c>
      <c r="D123" s="13" t="n">
        <v>3.209859</v>
      </c>
      <c r="E123" s="14" t="n">
        <v>280</v>
      </c>
      <c r="F123" s="10" t="n">
        <f aca="false">E123/'Correction factors'!$B$10</f>
        <v>22.582</v>
      </c>
      <c r="G123" s="11" t="n">
        <v>381</v>
      </c>
    </row>
    <row r="124" customFormat="false" ht="15" hidden="false" customHeight="false" outlineLevel="0" collapsed="false">
      <c r="A124" s="10" t="n">
        <v>26.5045084953308</v>
      </c>
      <c r="B124" s="11" t="n">
        <v>440</v>
      </c>
      <c r="C124" s="12" t="n">
        <f aca="false">B124*'Correction factors'!$B$7</f>
        <v>2129.16</v>
      </c>
      <c r="D124" s="13" t="n">
        <v>3.200037</v>
      </c>
      <c r="E124" s="14" t="n">
        <v>288</v>
      </c>
      <c r="F124" s="10" t="n">
        <f aca="false">E124/'Correction factors'!$B$10</f>
        <v>23.2272</v>
      </c>
      <c r="G124" s="11" t="n">
        <v>380</v>
      </c>
    </row>
    <row r="125" customFormat="false" ht="15" hidden="false" customHeight="false" outlineLevel="0" collapsed="false">
      <c r="A125" s="10" t="n">
        <v>26.5045084953308</v>
      </c>
      <c r="B125" s="11" t="n">
        <v>420</v>
      </c>
      <c r="C125" s="12" t="n">
        <f aca="false">B125*'Correction factors'!$B$7</f>
        <v>2032.38</v>
      </c>
      <c r="D125" s="13" t="n">
        <v>3.200037</v>
      </c>
      <c r="E125" s="14" t="n">
        <v>280</v>
      </c>
      <c r="F125" s="10" t="n">
        <f aca="false">E125/'Correction factors'!$B$10</f>
        <v>22.582</v>
      </c>
      <c r="G125" s="11" t="n">
        <v>380</v>
      </c>
    </row>
    <row r="126" customFormat="false" ht="15" hidden="false" customHeight="false" outlineLevel="0" collapsed="false">
      <c r="A126" s="10" t="n">
        <v>26.5045084953308</v>
      </c>
      <c r="B126" s="11" t="n">
        <v>420</v>
      </c>
      <c r="C126" s="12" t="n">
        <f aca="false">B126*'Correction factors'!$B$7</f>
        <v>2032.38</v>
      </c>
      <c r="D126" s="13" t="n">
        <v>3.200037</v>
      </c>
      <c r="E126" s="14" t="n">
        <v>280</v>
      </c>
      <c r="F126" s="10" t="n">
        <f aca="false">E126/'Correction factors'!$B$10</f>
        <v>22.582</v>
      </c>
      <c r="G126" s="11" t="n">
        <v>379</v>
      </c>
    </row>
    <row r="127" customFormat="false" ht="15" hidden="false" customHeight="false" outlineLevel="0" collapsed="false">
      <c r="A127" s="10" t="n">
        <v>26.9970963001251</v>
      </c>
      <c r="B127" s="11" t="n">
        <v>420</v>
      </c>
      <c r="C127" s="12" t="n">
        <f aca="false">B127*'Correction factors'!$B$7</f>
        <v>2032.38</v>
      </c>
      <c r="D127" s="13" t="n">
        <v>3.209859</v>
      </c>
      <c r="E127" s="14" t="n">
        <v>272</v>
      </c>
      <c r="F127" s="10" t="n">
        <f aca="false">E127/'Correction factors'!$B$10</f>
        <v>21.9368</v>
      </c>
      <c r="G127" s="11" t="n">
        <v>379</v>
      </c>
    </row>
    <row r="128" customFormat="false" ht="15" hidden="false" customHeight="false" outlineLevel="0" collapsed="false">
      <c r="A128" s="10" t="n">
        <v>26.9970963001251</v>
      </c>
      <c r="B128" s="11" t="n">
        <v>420</v>
      </c>
      <c r="C128" s="12" t="n">
        <f aca="false">B128*'Correction factors'!$B$7</f>
        <v>2032.38</v>
      </c>
      <c r="D128" s="13" t="n">
        <v>3.200037</v>
      </c>
      <c r="E128" s="14" t="n">
        <v>280</v>
      </c>
      <c r="F128" s="10" t="n">
        <f aca="false">E128/'Correction factors'!$B$10</f>
        <v>22.582</v>
      </c>
      <c r="G128" s="11" t="n">
        <v>379</v>
      </c>
    </row>
    <row r="129" customFormat="false" ht="15" hidden="false" customHeight="false" outlineLevel="0" collapsed="false">
      <c r="A129" s="10" t="n">
        <v>27.4349391460419</v>
      </c>
      <c r="B129" s="11" t="n">
        <v>420</v>
      </c>
      <c r="C129" s="12" t="n">
        <f aca="false">B129*'Correction factors'!$B$7</f>
        <v>2032.38</v>
      </c>
      <c r="D129" s="13" t="n">
        <v>3.190216</v>
      </c>
      <c r="E129" s="14" t="n">
        <v>272</v>
      </c>
      <c r="F129" s="10" t="n">
        <f aca="false">E129/'Correction factors'!$B$10</f>
        <v>21.9368</v>
      </c>
      <c r="G129" s="11" t="n">
        <v>379</v>
      </c>
    </row>
    <row r="130" customFormat="false" ht="15" hidden="false" customHeight="false" outlineLevel="0" collapsed="false">
      <c r="A130" s="10" t="n">
        <v>27.4349391460419</v>
      </c>
      <c r="B130" s="11" t="n">
        <v>420</v>
      </c>
      <c r="C130" s="12" t="n">
        <f aca="false">B130*'Correction factors'!$B$7</f>
        <v>2032.38</v>
      </c>
      <c r="D130" s="13" t="n">
        <v>3.200037</v>
      </c>
      <c r="E130" s="14" t="n">
        <v>280</v>
      </c>
      <c r="F130" s="10" t="n">
        <f aca="false">E130/'Correction factors'!$B$10</f>
        <v>22.582</v>
      </c>
      <c r="G130" s="11" t="n">
        <v>379</v>
      </c>
    </row>
    <row r="131" customFormat="false" ht="15" hidden="false" customHeight="false" outlineLevel="0" collapsed="false">
      <c r="A131" s="10" t="n">
        <v>27.8769946098328</v>
      </c>
      <c r="B131" s="11" t="n">
        <v>420</v>
      </c>
      <c r="C131" s="12" t="n">
        <f aca="false">B131*'Correction factors'!$B$7</f>
        <v>2032.38</v>
      </c>
      <c r="D131" s="13" t="n">
        <v>3.190216</v>
      </c>
      <c r="E131" s="14" t="n">
        <v>272</v>
      </c>
      <c r="F131" s="10" t="n">
        <f aca="false">E131/'Correction factors'!$B$10</f>
        <v>21.9368</v>
      </c>
      <c r="G131" s="11" t="n">
        <v>380</v>
      </c>
    </row>
    <row r="132" customFormat="false" ht="15" hidden="false" customHeight="false" outlineLevel="0" collapsed="false">
      <c r="A132" s="10" t="n">
        <v>27.8769946098328</v>
      </c>
      <c r="B132" s="11" t="n">
        <v>420</v>
      </c>
      <c r="C132" s="12" t="n">
        <f aca="false">B132*'Correction factors'!$B$7</f>
        <v>2032.38</v>
      </c>
      <c r="D132" s="13" t="n">
        <v>3.190216</v>
      </c>
      <c r="E132" s="14" t="n">
        <v>280</v>
      </c>
      <c r="F132" s="10" t="n">
        <f aca="false">E132/'Correction factors'!$B$10</f>
        <v>22.582</v>
      </c>
      <c r="G132" s="11" t="n">
        <v>379</v>
      </c>
    </row>
    <row r="133" customFormat="false" ht="15" hidden="false" customHeight="false" outlineLevel="0" collapsed="false">
      <c r="A133" s="10" t="n">
        <v>28.3126184940338</v>
      </c>
      <c r="B133" s="11" t="n">
        <v>420</v>
      </c>
      <c r="C133" s="12" t="n">
        <f aca="false">B133*'Correction factors'!$B$7</f>
        <v>2032.38</v>
      </c>
      <c r="D133" s="13" t="n">
        <v>3.190216</v>
      </c>
      <c r="E133" s="14" t="n">
        <v>272</v>
      </c>
      <c r="F133" s="10" t="n">
        <f aca="false">E133/'Correction factors'!$B$10</f>
        <v>21.9368</v>
      </c>
      <c r="G133" s="11" t="n">
        <v>378</v>
      </c>
    </row>
    <row r="134" customFormat="false" ht="15" hidden="false" customHeight="false" outlineLevel="0" collapsed="false">
      <c r="A134" s="10" t="n">
        <v>28.3126184940338</v>
      </c>
      <c r="B134" s="11" t="n">
        <v>420</v>
      </c>
      <c r="C134" s="12" t="n">
        <f aca="false">B134*'Correction factors'!$B$7</f>
        <v>2032.38</v>
      </c>
      <c r="D134" s="13" t="n">
        <v>3.190216</v>
      </c>
      <c r="E134" s="14" t="n">
        <v>272</v>
      </c>
      <c r="F134" s="10" t="n">
        <f aca="false">E134/'Correction factors'!$B$10</f>
        <v>21.9368</v>
      </c>
      <c r="G134" s="11" t="n">
        <v>378</v>
      </c>
    </row>
    <row r="135" customFormat="false" ht="15" hidden="false" customHeight="false" outlineLevel="0" collapsed="false">
      <c r="A135" s="10" t="n">
        <v>28.7559616565704</v>
      </c>
      <c r="B135" s="11" t="n">
        <v>400</v>
      </c>
      <c r="C135" s="12" t="n">
        <f aca="false">B135*'Correction factors'!$B$7</f>
        <v>1935.6</v>
      </c>
      <c r="D135" s="13" t="n">
        <v>3.200037</v>
      </c>
      <c r="E135" s="14" t="n">
        <v>272</v>
      </c>
      <c r="F135" s="10" t="n">
        <f aca="false">E135/'Correction factors'!$B$10</f>
        <v>21.9368</v>
      </c>
      <c r="G135" s="11" t="n">
        <v>378</v>
      </c>
    </row>
    <row r="136" customFormat="false" ht="15" hidden="false" customHeight="false" outlineLevel="0" collapsed="false">
      <c r="A136" s="10" t="n">
        <v>28.7559616565704</v>
      </c>
      <c r="B136" s="11" t="n">
        <v>400</v>
      </c>
      <c r="C136" s="12" t="n">
        <f aca="false">B136*'Correction factors'!$B$7</f>
        <v>1935.6</v>
      </c>
      <c r="D136" s="13" t="n">
        <v>3.200037</v>
      </c>
      <c r="E136" s="14" t="n">
        <v>272</v>
      </c>
      <c r="F136" s="10" t="n">
        <f aca="false">E136/'Correction factors'!$B$10</f>
        <v>21.9368</v>
      </c>
      <c r="G136" s="11" t="n">
        <v>378</v>
      </c>
    </row>
    <row r="137" customFormat="false" ht="15" hidden="false" customHeight="false" outlineLevel="0" collapsed="false">
      <c r="A137" s="10" t="n">
        <v>29.2463047504425</v>
      </c>
      <c r="B137" s="11" t="n">
        <v>400</v>
      </c>
      <c r="C137" s="12" t="n">
        <f aca="false">B137*'Correction factors'!$B$7</f>
        <v>1935.6</v>
      </c>
      <c r="D137" s="13" t="n">
        <v>3.200037</v>
      </c>
      <c r="E137" s="14" t="n">
        <v>264</v>
      </c>
      <c r="F137" s="10" t="n">
        <f aca="false">E137/'Correction factors'!$B$10</f>
        <v>21.2916</v>
      </c>
      <c r="G137" s="11" t="n">
        <v>378</v>
      </c>
    </row>
    <row r="138" customFormat="false" ht="15" hidden="false" customHeight="false" outlineLevel="0" collapsed="false">
      <c r="A138" s="10" t="n">
        <v>29.2463047504425</v>
      </c>
      <c r="B138" s="11" t="n">
        <v>400</v>
      </c>
      <c r="C138" s="12" t="n">
        <f aca="false">B138*'Correction factors'!$B$7</f>
        <v>1935.6</v>
      </c>
      <c r="D138" s="13" t="n">
        <v>3.190216</v>
      </c>
      <c r="E138" s="14" t="n">
        <v>272</v>
      </c>
      <c r="F138" s="10" t="n">
        <f aca="false">E138/'Correction factors'!$B$10</f>
        <v>21.9368</v>
      </c>
      <c r="G138" s="11" t="n">
        <v>378</v>
      </c>
    </row>
    <row r="139" customFormat="false" ht="15" hidden="false" customHeight="false" outlineLevel="0" collapsed="false">
      <c r="A139" s="10" t="n">
        <v>29.2463047504425</v>
      </c>
      <c r="B139" s="11" t="n">
        <v>400</v>
      </c>
      <c r="C139" s="12" t="n">
        <f aca="false">B139*'Correction factors'!$B$7</f>
        <v>1935.6</v>
      </c>
      <c r="D139" s="13" t="n">
        <v>3.190216</v>
      </c>
      <c r="E139" s="14" t="n">
        <v>264</v>
      </c>
      <c r="F139" s="10" t="n">
        <f aca="false">E139/'Correction factors'!$B$10</f>
        <v>21.2916</v>
      </c>
      <c r="G139" s="11" t="n">
        <v>378</v>
      </c>
    </row>
    <row r="140" customFormat="false" ht="15" hidden="false" customHeight="false" outlineLevel="0" collapsed="false">
      <c r="A140" s="10" t="n">
        <v>29.7263505458832</v>
      </c>
      <c r="B140" s="11" t="n">
        <v>380</v>
      </c>
      <c r="C140" s="12" t="n">
        <f aca="false">B140*'Correction factors'!$B$7</f>
        <v>1838.82</v>
      </c>
      <c r="D140" s="13" t="n">
        <v>3.200037</v>
      </c>
      <c r="E140" s="14" t="n">
        <v>272</v>
      </c>
      <c r="F140" s="10" t="n">
        <f aca="false">E140/'Correction factors'!$B$10</f>
        <v>21.9368</v>
      </c>
      <c r="G140" s="11" t="n">
        <v>378</v>
      </c>
    </row>
    <row r="141" customFormat="false" ht="15" hidden="false" customHeight="false" outlineLevel="0" collapsed="false">
      <c r="A141" s="10" t="n">
        <v>29.7263505458832</v>
      </c>
      <c r="B141" s="11" t="n">
        <v>400</v>
      </c>
      <c r="C141" s="12" t="n">
        <f aca="false">B141*'Correction factors'!$B$7</f>
        <v>1935.6</v>
      </c>
      <c r="D141" s="13" t="n">
        <v>3.190216</v>
      </c>
      <c r="E141" s="14" t="n">
        <v>272</v>
      </c>
      <c r="F141" s="10" t="n">
        <f aca="false">E141/'Correction factors'!$B$10</f>
        <v>21.9368</v>
      </c>
      <c r="G141" s="11" t="n">
        <v>379</v>
      </c>
    </row>
    <row r="142" customFormat="false" ht="15" hidden="false" customHeight="false" outlineLevel="0" collapsed="false">
      <c r="A142" s="10" t="n">
        <v>30.1733438968658</v>
      </c>
      <c r="B142" s="11" t="n">
        <v>380</v>
      </c>
      <c r="C142" s="12" t="n">
        <f aca="false">B142*'Correction factors'!$B$7</f>
        <v>1838.82</v>
      </c>
      <c r="D142" s="13" t="n">
        <v>3.180394</v>
      </c>
      <c r="E142" s="14" t="n">
        <v>272</v>
      </c>
      <c r="F142" s="10" t="n">
        <f aca="false">E142/'Correction factors'!$B$10</f>
        <v>21.9368</v>
      </c>
      <c r="G142" s="11" t="n">
        <v>379</v>
      </c>
    </row>
    <row r="143" customFormat="false" ht="15" hidden="false" customHeight="false" outlineLevel="0" collapsed="false">
      <c r="A143" s="10" t="n">
        <v>30.1733438968658</v>
      </c>
      <c r="B143" s="11" t="n">
        <v>400</v>
      </c>
      <c r="C143" s="12" t="n">
        <f aca="false">B143*'Correction factors'!$B$7</f>
        <v>1935.6</v>
      </c>
      <c r="D143" s="13" t="n">
        <v>3.180394</v>
      </c>
      <c r="E143" s="14" t="n">
        <v>264</v>
      </c>
      <c r="F143" s="10" t="n">
        <f aca="false">E143/'Correction factors'!$B$10</f>
        <v>21.2916</v>
      </c>
      <c r="G143" s="11" t="n">
        <v>379</v>
      </c>
    </row>
    <row r="144" customFormat="false" ht="15" hidden="false" customHeight="false" outlineLevel="0" collapsed="false">
      <c r="A144" s="10" t="n">
        <v>30.6333429813385</v>
      </c>
      <c r="B144" s="11" t="n">
        <v>380</v>
      </c>
      <c r="C144" s="12" t="n">
        <f aca="false">B144*'Correction factors'!$B$7</f>
        <v>1838.82</v>
      </c>
      <c r="D144" s="13" t="n">
        <v>3.180394</v>
      </c>
      <c r="E144" s="14" t="n">
        <v>272</v>
      </c>
      <c r="F144" s="10" t="n">
        <f aca="false">E144/'Correction factors'!$B$10</f>
        <v>21.9368</v>
      </c>
      <c r="G144" s="11" t="n">
        <v>378</v>
      </c>
    </row>
    <row r="145" customFormat="false" ht="15" hidden="false" customHeight="false" outlineLevel="0" collapsed="false">
      <c r="A145" s="10" t="n">
        <v>30.6333429813385</v>
      </c>
      <c r="B145" s="11" t="n">
        <v>400</v>
      </c>
      <c r="C145" s="12" t="n">
        <f aca="false">B145*'Correction factors'!$B$7</f>
        <v>1935.6</v>
      </c>
      <c r="D145" s="13" t="n">
        <v>3.180394</v>
      </c>
      <c r="E145" s="14" t="n">
        <v>272</v>
      </c>
      <c r="F145" s="10" t="n">
        <f aca="false">E145/'Correction factors'!$B$10</f>
        <v>21.9368</v>
      </c>
      <c r="G145" s="11" t="n">
        <v>379</v>
      </c>
    </row>
    <row r="146" customFormat="false" ht="15" hidden="false" customHeight="false" outlineLevel="0" collapsed="false">
      <c r="A146" s="10" t="n">
        <v>30.6333429813385</v>
      </c>
      <c r="B146" s="11" t="n">
        <v>400</v>
      </c>
      <c r="C146" s="12" t="n">
        <f aca="false">B146*'Correction factors'!$B$7</f>
        <v>1935.6</v>
      </c>
      <c r="D146" s="13" t="n">
        <v>3.170573</v>
      </c>
      <c r="E146" s="14" t="n">
        <v>272</v>
      </c>
      <c r="F146" s="10" t="n">
        <f aca="false">E146/'Correction factors'!$B$10</f>
        <v>21.9368</v>
      </c>
      <c r="G146" s="11" t="n">
        <v>378</v>
      </c>
    </row>
    <row r="147" customFormat="false" ht="15" hidden="false" customHeight="false" outlineLevel="0" collapsed="false">
      <c r="A147" s="10" t="n">
        <v>31.1623477935791</v>
      </c>
      <c r="B147" s="11" t="n">
        <v>420</v>
      </c>
      <c r="C147" s="12" t="n">
        <f aca="false">B147*'Correction factors'!$B$7</f>
        <v>2032.38</v>
      </c>
      <c r="D147" s="13" t="n">
        <v>3.160751</v>
      </c>
      <c r="E147" s="14" t="n">
        <v>264</v>
      </c>
      <c r="F147" s="10" t="n">
        <f aca="false">E147/'Correction factors'!$B$10</f>
        <v>21.2916</v>
      </c>
      <c r="G147" s="11" t="n">
        <v>378</v>
      </c>
    </row>
    <row r="148" customFormat="false" ht="15" hidden="false" customHeight="false" outlineLevel="0" collapsed="false">
      <c r="A148" s="10" t="n">
        <v>31.1623477935791</v>
      </c>
      <c r="B148" s="11" t="n">
        <v>400</v>
      </c>
      <c r="C148" s="12" t="n">
        <f aca="false">B148*'Correction factors'!$B$7</f>
        <v>1935.6</v>
      </c>
      <c r="D148" s="13" t="n">
        <v>3.160751</v>
      </c>
      <c r="E148" s="14" t="n">
        <v>272</v>
      </c>
      <c r="F148" s="10" t="n">
        <f aca="false">E148/'Correction factors'!$B$10</f>
        <v>21.9368</v>
      </c>
      <c r="G148" s="11" t="n">
        <v>378</v>
      </c>
    </row>
    <row r="149" customFormat="false" ht="15" hidden="false" customHeight="false" outlineLevel="0" collapsed="false">
      <c r="A149" s="10" t="n">
        <v>31.6493427753449</v>
      </c>
      <c r="B149" s="11" t="n">
        <v>400</v>
      </c>
      <c r="C149" s="12" t="n">
        <f aca="false">B149*'Correction factors'!$B$7</f>
        <v>1935.6</v>
      </c>
      <c r="D149" s="13" t="n">
        <v>3.160751</v>
      </c>
      <c r="E149" s="14" t="n">
        <v>264</v>
      </c>
      <c r="F149" s="10" t="n">
        <f aca="false">E149/'Correction factors'!$B$10</f>
        <v>21.2916</v>
      </c>
      <c r="G149" s="11" t="n">
        <v>378</v>
      </c>
    </row>
    <row r="150" customFormat="false" ht="15" hidden="false" customHeight="false" outlineLevel="0" collapsed="false">
      <c r="A150" s="10" t="n">
        <v>31.6493427753449</v>
      </c>
      <c r="B150" s="11" t="n">
        <v>400</v>
      </c>
      <c r="C150" s="12" t="n">
        <f aca="false">B150*'Correction factors'!$B$7</f>
        <v>1935.6</v>
      </c>
      <c r="D150" s="13" t="n">
        <v>3.160751</v>
      </c>
      <c r="E150" s="14" t="n">
        <v>272</v>
      </c>
      <c r="F150" s="10" t="n">
        <f aca="false">E150/'Correction factors'!$B$10</f>
        <v>21.9368</v>
      </c>
      <c r="G150" s="11" t="n">
        <v>378</v>
      </c>
    </row>
    <row r="151" customFormat="false" ht="15" hidden="false" customHeight="false" outlineLevel="0" collapsed="false">
      <c r="A151" s="10" t="n">
        <v>32.1063437461853</v>
      </c>
      <c r="B151" s="11" t="n">
        <v>400</v>
      </c>
      <c r="C151" s="12" t="n">
        <f aca="false">B151*'Correction factors'!$B$7</f>
        <v>1935.6</v>
      </c>
      <c r="D151" s="13" t="n">
        <v>3.160751</v>
      </c>
      <c r="E151" s="14" t="n">
        <v>264</v>
      </c>
      <c r="F151" s="10" t="n">
        <f aca="false">E151/'Correction factors'!$B$10</f>
        <v>21.2916</v>
      </c>
      <c r="G151" s="11" t="n">
        <v>378</v>
      </c>
    </row>
    <row r="152" customFormat="false" ht="15" hidden="false" customHeight="false" outlineLevel="0" collapsed="false">
      <c r="A152" s="10" t="n">
        <v>32.1063437461853</v>
      </c>
      <c r="B152" s="11" t="n">
        <v>400</v>
      </c>
      <c r="C152" s="12" t="n">
        <f aca="false">B152*'Correction factors'!$B$7</f>
        <v>1935.6</v>
      </c>
      <c r="D152" s="13" t="n">
        <v>3.150929</v>
      </c>
      <c r="E152" s="14" t="n">
        <v>272</v>
      </c>
      <c r="F152" s="10" t="n">
        <f aca="false">E152/'Correction factors'!$B$10</f>
        <v>21.9368</v>
      </c>
      <c r="G152" s="11" t="n">
        <v>378</v>
      </c>
    </row>
    <row r="153" customFormat="false" ht="15" hidden="false" customHeight="false" outlineLevel="0" collapsed="false">
      <c r="A153" s="10" t="n">
        <v>32.1063437461853</v>
      </c>
      <c r="B153" s="11" t="n">
        <v>380</v>
      </c>
      <c r="C153" s="12" t="n">
        <f aca="false">B153*'Correction factors'!$B$7</f>
        <v>1838.82</v>
      </c>
      <c r="D153" s="13" t="n">
        <v>3.141108</v>
      </c>
      <c r="E153" s="14" t="n">
        <v>264</v>
      </c>
      <c r="F153" s="10" t="n">
        <f aca="false">E153/'Correction factors'!$B$10</f>
        <v>21.2916</v>
      </c>
      <c r="G153" s="11" t="n">
        <v>379</v>
      </c>
    </row>
    <row r="154" customFormat="false" ht="15" hidden="false" customHeight="false" outlineLevel="0" collapsed="false">
      <c r="A154" s="10" t="n">
        <v>32.6304242610931</v>
      </c>
      <c r="B154" s="11" t="n">
        <v>400</v>
      </c>
      <c r="C154" s="12" t="n">
        <f aca="false">B154*'Correction factors'!$B$7</f>
        <v>1935.6</v>
      </c>
      <c r="D154" s="13" t="n">
        <v>3.131286</v>
      </c>
      <c r="E154" s="14" t="n">
        <v>272</v>
      </c>
      <c r="F154" s="10" t="n">
        <f aca="false">E154/'Correction factors'!$B$10</f>
        <v>21.9368</v>
      </c>
      <c r="G154" s="11" t="n">
        <v>380</v>
      </c>
    </row>
    <row r="155" customFormat="false" ht="15" hidden="false" customHeight="false" outlineLevel="0" collapsed="false">
      <c r="A155" s="10" t="n">
        <v>32.6304242610931</v>
      </c>
      <c r="B155" s="11" t="n">
        <v>400</v>
      </c>
      <c r="C155" s="12" t="n">
        <f aca="false">B155*'Correction factors'!$B$7</f>
        <v>1935.6</v>
      </c>
      <c r="D155" s="13" t="n">
        <v>3.121464</v>
      </c>
      <c r="E155" s="14" t="n">
        <v>272</v>
      </c>
      <c r="F155" s="10" t="n">
        <f aca="false">E155/'Correction factors'!$B$10</f>
        <v>21.9368</v>
      </c>
      <c r="G155" s="11" t="n">
        <v>379</v>
      </c>
    </row>
    <row r="156" customFormat="false" ht="15" hidden="false" customHeight="false" outlineLevel="0" collapsed="false">
      <c r="A156" s="10" t="n">
        <v>33.086473941803</v>
      </c>
      <c r="B156" s="11" t="n">
        <v>380</v>
      </c>
      <c r="C156" s="12" t="n">
        <f aca="false">B156*'Correction factors'!$B$7</f>
        <v>1838.82</v>
      </c>
      <c r="D156" s="13" t="n">
        <v>3.121464</v>
      </c>
      <c r="E156" s="14" t="n">
        <v>264</v>
      </c>
      <c r="F156" s="10" t="n">
        <f aca="false">E156/'Correction factors'!$B$10</f>
        <v>21.2916</v>
      </c>
      <c r="G156" s="11" t="n">
        <v>379</v>
      </c>
    </row>
    <row r="157" customFormat="false" ht="15" hidden="false" customHeight="false" outlineLevel="0" collapsed="false">
      <c r="A157" s="10" t="n">
        <v>33.086473941803</v>
      </c>
      <c r="B157" s="11" t="n">
        <v>400</v>
      </c>
      <c r="C157" s="12" t="n">
        <f aca="false">B157*'Correction factors'!$B$7</f>
        <v>1935.6</v>
      </c>
      <c r="D157" s="13" t="n">
        <v>3.111643</v>
      </c>
      <c r="E157" s="14" t="n">
        <v>264</v>
      </c>
      <c r="F157" s="10" t="n">
        <f aca="false">E157/'Correction factors'!$B$10</f>
        <v>21.2916</v>
      </c>
      <c r="G157" s="11" t="n">
        <v>379</v>
      </c>
    </row>
    <row r="158" customFormat="false" ht="15" hidden="false" customHeight="false" outlineLevel="0" collapsed="false">
      <c r="A158" s="10" t="n">
        <v>33.6022534370422</v>
      </c>
      <c r="B158" s="11" t="n">
        <v>380</v>
      </c>
      <c r="C158" s="12" t="n">
        <f aca="false">B158*'Correction factors'!$B$7</f>
        <v>1838.82</v>
      </c>
      <c r="D158" s="13" t="n">
        <v>3.111643</v>
      </c>
      <c r="E158" s="14" t="n">
        <v>264</v>
      </c>
      <c r="F158" s="10" t="n">
        <f aca="false">E158/'Correction factors'!$B$10</f>
        <v>21.2916</v>
      </c>
      <c r="G158" s="11" t="n">
        <v>378</v>
      </c>
    </row>
    <row r="159" customFormat="false" ht="15" hidden="false" customHeight="false" outlineLevel="0" collapsed="false">
      <c r="A159" s="10" t="n">
        <v>33.6022534370422</v>
      </c>
      <c r="B159" s="11" t="n">
        <v>380</v>
      </c>
      <c r="C159" s="12" t="n">
        <f aca="false">B159*'Correction factors'!$B$7</f>
        <v>1838.82</v>
      </c>
      <c r="D159" s="13" t="n">
        <v>3.111643</v>
      </c>
      <c r="E159" s="14" t="n">
        <v>264</v>
      </c>
      <c r="F159" s="10" t="n">
        <f aca="false">E159/'Correction factors'!$B$10</f>
        <v>21.2916</v>
      </c>
      <c r="G159" s="11" t="n">
        <v>379</v>
      </c>
    </row>
    <row r="160" customFormat="false" ht="15" hidden="false" customHeight="false" outlineLevel="0" collapsed="false">
      <c r="A160" s="10" t="n">
        <v>33.6022534370422</v>
      </c>
      <c r="B160" s="11" t="n">
        <v>380</v>
      </c>
      <c r="C160" s="12" t="n">
        <f aca="false">B160*'Correction factors'!$B$7</f>
        <v>1838.82</v>
      </c>
      <c r="D160" s="13" t="n">
        <v>3.092</v>
      </c>
      <c r="E160" s="14" t="n">
        <v>272</v>
      </c>
      <c r="F160" s="10" t="n">
        <f aca="false">E160/'Correction factors'!$B$10</f>
        <v>21.9368</v>
      </c>
      <c r="G160" s="11" t="n">
        <v>380</v>
      </c>
    </row>
    <row r="161" customFormat="false" ht="15" hidden="false" customHeight="false" outlineLevel="0" collapsed="false">
      <c r="A161" s="10" t="n">
        <v>34.1308641433716</v>
      </c>
      <c r="B161" s="11" t="n">
        <v>380</v>
      </c>
      <c r="C161" s="12" t="n">
        <f aca="false">B161*'Correction factors'!$B$7</f>
        <v>1838.82</v>
      </c>
      <c r="D161" s="13" t="n">
        <v>3.101821</v>
      </c>
      <c r="E161" s="14" t="n">
        <v>264</v>
      </c>
      <c r="F161" s="10" t="n">
        <f aca="false">E161/'Correction factors'!$B$10</f>
        <v>21.2916</v>
      </c>
      <c r="G161" s="11" t="n">
        <v>380</v>
      </c>
    </row>
    <row r="162" customFormat="false" ht="15" hidden="false" customHeight="false" outlineLevel="0" collapsed="false">
      <c r="A162" s="10" t="n">
        <v>34.1308641433716</v>
      </c>
      <c r="B162" s="11" t="n">
        <v>380</v>
      </c>
      <c r="C162" s="12" t="n">
        <f aca="false">B162*'Correction factors'!$B$7</f>
        <v>1838.82</v>
      </c>
      <c r="D162" s="13" t="n">
        <v>3.092</v>
      </c>
      <c r="E162" s="14" t="n">
        <v>264</v>
      </c>
      <c r="F162" s="10" t="n">
        <f aca="false">E162/'Correction factors'!$B$10</f>
        <v>21.2916</v>
      </c>
      <c r="G162" s="11" t="n">
        <v>380</v>
      </c>
    </row>
    <row r="163" customFormat="false" ht="15" hidden="false" customHeight="false" outlineLevel="0" collapsed="false">
      <c r="A163" s="10" t="n">
        <v>34.5835406780243</v>
      </c>
      <c r="B163" s="11" t="n">
        <v>400</v>
      </c>
      <c r="C163" s="12" t="n">
        <f aca="false">B163*'Correction factors'!$B$7</f>
        <v>1935.6</v>
      </c>
      <c r="D163" s="13" t="n">
        <v>3.082178</v>
      </c>
      <c r="E163" s="14" t="n">
        <v>264</v>
      </c>
      <c r="F163" s="10" t="n">
        <f aca="false">E163/'Correction factors'!$B$10</f>
        <v>21.2916</v>
      </c>
      <c r="G163" s="11" t="n">
        <v>380</v>
      </c>
    </row>
    <row r="164" customFormat="false" ht="15" hidden="false" customHeight="false" outlineLevel="0" collapsed="false">
      <c r="A164" s="10" t="n">
        <v>34.5835406780243</v>
      </c>
      <c r="B164" s="11" t="n">
        <v>380</v>
      </c>
      <c r="C164" s="12" t="n">
        <f aca="false">B164*'Correction factors'!$B$7</f>
        <v>1838.82</v>
      </c>
      <c r="D164" s="13" t="n">
        <v>3.072357</v>
      </c>
      <c r="E164" s="14" t="n">
        <v>264</v>
      </c>
      <c r="F164" s="10" t="n">
        <f aca="false">E164/'Correction factors'!$B$10</f>
        <v>21.2916</v>
      </c>
      <c r="G164" s="11" t="n">
        <v>380</v>
      </c>
    </row>
    <row r="165" customFormat="false" ht="15" hidden="false" customHeight="false" outlineLevel="0" collapsed="false">
      <c r="A165" s="10" t="n">
        <v>35.028769493103</v>
      </c>
      <c r="B165" s="11" t="n">
        <v>380</v>
      </c>
      <c r="C165" s="12" t="n">
        <f aca="false">B165*'Correction factors'!$B$7</f>
        <v>1838.82</v>
      </c>
      <c r="D165" s="13" t="n">
        <v>3.072357</v>
      </c>
      <c r="E165" s="14" t="n">
        <v>272</v>
      </c>
      <c r="F165" s="10" t="n">
        <f aca="false">E165/'Correction factors'!$B$10</f>
        <v>21.9368</v>
      </c>
      <c r="G165" s="11" t="n">
        <v>381</v>
      </c>
    </row>
    <row r="166" customFormat="false" ht="15" hidden="false" customHeight="false" outlineLevel="0" collapsed="false">
      <c r="A166" s="10" t="n">
        <v>35.028769493103</v>
      </c>
      <c r="B166" s="11" t="n">
        <v>380</v>
      </c>
      <c r="C166" s="12" t="n">
        <f aca="false">B166*'Correction factors'!$B$7</f>
        <v>1838.82</v>
      </c>
      <c r="D166" s="13" t="n">
        <v>3.062535</v>
      </c>
      <c r="E166" s="14" t="n">
        <v>264</v>
      </c>
      <c r="F166" s="10" t="n">
        <f aca="false">E166/'Correction factors'!$B$10</f>
        <v>21.2916</v>
      </c>
      <c r="G166" s="11" t="n">
        <v>381</v>
      </c>
    </row>
    <row r="167" customFormat="false" ht="15" hidden="false" customHeight="false" outlineLevel="0" collapsed="false">
      <c r="A167" s="10" t="n">
        <v>35.028769493103</v>
      </c>
      <c r="B167" s="11" t="n">
        <v>380</v>
      </c>
      <c r="C167" s="12" t="n">
        <f aca="false">B167*'Correction factors'!$B$7</f>
        <v>1838.82</v>
      </c>
      <c r="D167" s="13" t="n">
        <v>3.062535</v>
      </c>
      <c r="E167" s="14" t="n">
        <v>272</v>
      </c>
      <c r="F167" s="10" t="n">
        <f aca="false">E167/'Correction factors'!$B$10</f>
        <v>21.9368</v>
      </c>
      <c r="G167" s="11" t="n">
        <v>381</v>
      </c>
    </row>
    <row r="168" customFormat="false" ht="15" hidden="false" customHeight="false" outlineLevel="0" collapsed="false">
      <c r="A168" s="10" t="n">
        <v>35.5410144329071</v>
      </c>
      <c r="B168" s="11" t="n">
        <v>380</v>
      </c>
      <c r="C168" s="12" t="n">
        <f aca="false">B168*'Correction factors'!$B$7</f>
        <v>1838.82</v>
      </c>
      <c r="D168" s="13" t="n">
        <v>3.052713</v>
      </c>
      <c r="E168" s="14" t="n">
        <v>264</v>
      </c>
      <c r="F168" s="10" t="n">
        <f aca="false">E168/'Correction factors'!$B$10</f>
        <v>21.2916</v>
      </c>
      <c r="G168" s="11" t="n">
        <v>381</v>
      </c>
    </row>
    <row r="169" customFormat="false" ht="15" hidden="false" customHeight="false" outlineLevel="0" collapsed="false">
      <c r="A169" s="10" t="n">
        <v>35.5410144329071</v>
      </c>
      <c r="B169" s="11" t="n">
        <v>380</v>
      </c>
      <c r="C169" s="12" t="n">
        <f aca="false">B169*'Correction factors'!$B$7</f>
        <v>1838.82</v>
      </c>
      <c r="D169" s="13" t="n">
        <v>3.042892</v>
      </c>
      <c r="E169" s="14" t="n">
        <v>264</v>
      </c>
      <c r="F169" s="10" t="n">
        <f aca="false">E169/'Correction factors'!$B$10</f>
        <v>21.2916</v>
      </c>
      <c r="G169" s="11" t="n">
        <v>381</v>
      </c>
    </row>
    <row r="170" customFormat="false" ht="15" hidden="false" customHeight="false" outlineLevel="0" collapsed="false">
      <c r="A170" s="10" t="n">
        <v>36.0011711120606</v>
      </c>
      <c r="B170" s="11" t="n">
        <v>380</v>
      </c>
      <c r="C170" s="12" t="n">
        <f aca="false">B170*'Correction factors'!$B$7</f>
        <v>1838.82</v>
      </c>
      <c r="D170" s="13" t="n">
        <v>3.042892</v>
      </c>
      <c r="E170" s="14" t="n">
        <v>272</v>
      </c>
      <c r="F170" s="10" t="n">
        <f aca="false">E170/'Correction factors'!$B$10</f>
        <v>21.9368</v>
      </c>
      <c r="G170" s="11" t="n">
        <v>381</v>
      </c>
    </row>
    <row r="171" customFormat="false" ht="15" hidden="false" customHeight="false" outlineLevel="0" collapsed="false">
      <c r="A171" s="10" t="n">
        <v>36.0011711120606</v>
      </c>
      <c r="B171" s="11" t="n">
        <v>380</v>
      </c>
      <c r="C171" s="12" t="n">
        <f aca="false">B171*'Correction factors'!$B$7</f>
        <v>1838.82</v>
      </c>
      <c r="D171" s="13" t="n">
        <v>3.03307</v>
      </c>
      <c r="E171" s="14" t="n">
        <v>264</v>
      </c>
      <c r="F171" s="10" t="n">
        <f aca="false">E171/'Correction factors'!$B$10</f>
        <v>21.2916</v>
      </c>
      <c r="G171" s="11" t="n">
        <v>381</v>
      </c>
    </row>
    <row r="172" customFormat="false" ht="15" hidden="false" customHeight="false" outlineLevel="0" collapsed="false">
      <c r="A172" s="10" t="n">
        <v>36.4686942100525</v>
      </c>
      <c r="B172" s="11" t="n">
        <v>380</v>
      </c>
      <c r="C172" s="12" t="n">
        <f aca="false">B172*'Correction factors'!$B$7</f>
        <v>1838.82</v>
      </c>
      <c r="D172" s="13" t="n">
        <v>3.023248</v>
      </c>
      <c r="E172" s="14" t="n">
        <v>272</v>
      </c>
      <c r="F172" s="10" t="n">
        <f aca="false">E172/'Correction factors'!$B$10</f>
        <v>21.9368</v>
      </c>
      <c r="G172" s="11" t="n">
        <v>381</v>
      </c>
    </row>
    <row r="173" customFormat="false" ht="15" hidden="false" customHeight="false" outlineLevel="0" collapsed="false">
      <c r="A173" s="10" t="n">
        <v>36.4686942100525</v>
      </c>
      <c r="B173" s="11" t="n">
        <v>380</v>
      </c>
      <c r="C173" s="12" t="n">
        <f aca="false">B173*'Correction factors'!$B$7</f>
        <v>1838.82</v>
      </c>
      <c r="D173" s="13" t="n">
        <v>3.013427</v>
      </c>
      <c r="E173" s="14" t="n">
        <v>264</v>
      </c>
      <c r="F173" s="10" t="n">
        <f aca="false">E173/'Correction factors'!$B$10</f>
        <v>21.2916</v>
      </c>
      <c r="G173" s="11" t="n">
        <v>381</v>
      </c>
    </row>
    <row r="174" customFormat="false" ht="15" hidden="false" customHeight="false" outlineLevel="0" collapsed="false">
      <c r="A174" s="10" t="n">
        <v>36.4686942100525</v>
      </c>
      <c r="B174" s="11" t="n">
        <v>360</v>
      </c>
      <c r="C174" s="12" t="n">
        <f aca="false">B174*'Correction factors'!$B$7</f>
        <v>1742.04</v>
      </c>
      <c r="D174" s="13" t="n">
        <v>3.013427</v>
      </c>
      <c r="E174" s="14" t="n">
        <v>264</v>
      </c>
      <c r="F174" s="10" t="n">
        <f aca="false">E174/'Correction factors'!$B$10</f>
        <v>21.2916</v>
      </c>
      <c r="G174" s="11" t="n">
        <v>382</v>
      </c>
    </row>
    <row r="175" customFormat="false" ht="15" hidden="false" customHeight="false" outlineLevel="0" collapsed="false">
      <c r="A175" s="10" t="n">
        <v>36.9866378307343</v>
      </c>
      <c r="B175" s="11" t="n">
        <v>360</v>
      </c>
      <c r="C175" s="12" t="n">
        <f aca="false">B175*'Correction factors'!$B$7</f>
        <v>1742.04</v>
      </c>
      <c r="D175" s="13" t="n">
        <v>3.013427</v>
      </c>
      <c r="E175" s="14" t="n">
        <v>272</v>
      </c>
      <c r="F175" s="10" t="n">
        <f aca="false">E175/'Correction factors'!$B$10</f>
        <v>21.9368</v>
      </c>
      <c r="G175" s="11" t="n">
        <v>383</v>
      </c>
    </row>
    <row r="176" customFormat="false" ht="15" hidden="false" customHeight="false" outlineLevel="0" collapsed="false">
      <c r="A176" s="10" t="n">
        <v>36.9866378307343</v>
      </c>
      <c r="B176" s="11" t="n">
        <v>380</v>
      </c>
      <c r="C176" s="12" t="n">
        <f aca="false">B176*'Correction factors'!$B$7</f>
        <v>1838.82</v>
      </c>
      <c r="D176" s="13" t="n">
        <v>3.003605</v>
      </c>
      <c r="E176" s="14" t="n">
        <v>264</v>
      </c>
      <c r="F176" s="10" t="n">
        <f aca="false">E176/'Correction factors'!$B$10</f>
        <v>21.2916</v>
      </c>
      <c r="G176" s="11" t="n">
        <v>383</v>
      </c>
    </row>
    <row r="177" customFormat="false" ht="15" hidden="false" customHeight="false" outlineLevel="0" collapsed="false">
      <c r="A177" s="10" t="n">
        <v>37.4591548442841</v>
      </c>
      <c r="B177" s="11" t="n">
        <v>360</v>
      </c>
      <c r="C177" s="12" t="n">
        <f aca="false">B177*'Correction factors'!$B$7</f>
        <v>1742.04</v>
      </c>
      <c r="D177" s="13" t="n">
        <v>2.993784</v>
      </c>
      <c r="E177" s="14" t="n">
        <v>264</v>
      </c>
      <c r="F177" s="10" t="n">
        <f aca="false">E177/'Correction factors'!$B$10</f>
        <v>21.2916</v>
      </c>
      <c r="G177" s="11" t="n">
        <v>383</v>
      </c>
    </row>
    <row r="178" customFormat="false" ht="15" hidden="false" customHeight="false" outlineLevel="0" collapsed="false">
      <c r="A178" s="10" t="n">
        <v>37.4591548442841</v>
      </c>
      <c r="B178" s="11" t="n">
        <v>380</v>
      </c>
      <c r="C178" s="12" t="n">
        <f aca="false">B178*'Correction factors'!$B$7</f>
        <v>1838.82</v>
      </c>
      <c r="D178" s="13" t="n">
        <v>2.983962</v>
      </c>
      <c r="E178" s="14" t="n">
        <v>272</v>
      </c>
      <c r="F178" s="10" t="n">
        <f aca="false">E178/'Correction factors'!$B$10</f>
        <v>21.9368</v>
      </c>
      <c r="G178" s="11" t="n">
        <v>385</v>
      </c>
    </row>
    <row r="179" customFormat="false" ht="15" hidden="false" customHeight="false" outlineLevel="0" collapsed="false">
      <c r="A179" s="10" t="n">
        <v>37.9618980884552</v>
      </c>
      <c r="B179" s="11" t="n">
        <v>380</v>
      </c>
      <c r="C179" s="12" t="n">
        <f aca="false">B179*'Correction factors'!$B$7</f>
        <v>1838.82</v>
      </c>
      <c r="D179" s="13" t="n">
        <v>2.974141</v>
      </c>
      <c r="E179" s="14" t="n">
        <v>264</v>
      </c>
      <c r="F179" s="10" t="n">
        <f aca="false">E179/'Correction factors'!$B$10</f>
        <v>21.2916</v>
      </c>
      <c r="G179" s="11" t="n">
        <v>385</v>
      </c>
    </row>
    <row r="180" customFormat="false" ht="15" hidden="false" customHeight="false" outlineLevel="0" collapsed="false">
      <c r="A180" s="10" t="n">
        <v>37.9618980884552</v>
      </c>
      <c r="B180" s="11" t="n">
        <v>360</v>
      </c>
      <c r="C180" s="12" t="n">
        <f aca="false">B180*'Correction factors'!$B$7</f>
        <v>1742.04</v>
      </c>
      <c r="D180" s="13" t="n">
        <v>2.974141</v>
      </c>
      <c r="E180" s="14" t="n">
        <v>264</v>
      </c>
      <c r="F180" s="10" t="n">
        <f aca="false">E180/'Correction factors'!$B$10</f>
        <v>21.2916</v>
      </c>
      <c r="G180" s="11" t="n">
        <v>385</v>
      </c>
    </row>
    <row r="181" customFormat="false" ht="15" hidden="false" customHeight="false" outlineLevel="0" collapsed="false">
      <c r="A181" s="10" t="n">
        <v>37.9618980884552</v>
      </c>
      <c r="B181" s="11" t="n">
        <v>360</v>
      </c>
      <c r="C181" s="12" t="n">
        <f aca="false">B181*'Correction factors'!$B$7</f>
        <v>1742.04</v>
      </c>
      <c r="D181" s="13" t="n">
        <v>2.974141</v>
      </c>
      <c r="E181" s="14" t="n">
        <v>264</v>
      </c>
      <c r="F181" s="10" t="n">
        <f aca="false">E181/'Correction factors'!$B$10</f>
        <v>21.2916</v>
      </c>
      <c r="G181" s="11" t="n">
        <v>385</v>
      </c>
    </row>
    <row r="182" customFormat="false" ht="15" hidden="false" customHeight="false" outlineLevel="0" collapsed="false">
      <c r="A182" s="10" t="n">
        <v>38.4631593227387</v>
      </c>
      <c r="B182" s="11" t="n">
        <v>360</v>
      </c>
      <c r="C182" s="12" t="n">
        <f aca="false">B182*'Correction factors'!$B$7</f>
        <v>1742.04</v>
      </c>
      <c r="D182" s="13" t="n">
        <v>2.954497</v>
      </c>
      <c r="E182" s="14" t="n">
        <v>264</v>
      </c>
      <c r="F182" s="10" t="n">
        <f aca="false">E182/'Correction factors'!$B$10</f>
        <v>21.2916</v>
      </c>
      <c r="G182" s="11" t="n">
        <v>387</v>
      </c>
    </row>
    <row r="183" customFormat="false" ht="15" hidden="false" customHeight="false" outlineLevel="0" collapsed="false">
      <c r="A183" s="10" t="n">
        <v>38.4631593227387</v>
      </c>
      <c r="B183" s="11" t="n">
        <v>380</v>
      </c>
      <c r="C183" s="12" t="n">
        <f aca="false">B183*'Correction factors'!$B$7</f>
        <v>1838.82</v>
      </c>
      <c r="D183" s="13" t="n">
        <v>2.944676</v>
      </c>
      <c r="E183" s="14" t="n">
        <v>264</v>
      </c>
      <c r="F183" s="10" t="n">
        <f aca="false">E183/'Correction factors'!$B$10</f>
        <v>21.2916</v>
      </c>
      <c r="G183" s="11" t="n">
        <v>388</v>
      </c>
    </row>
    <row r="184" customFormat="false" ht="15" hidden="false" customHeight="false" outlineLevel="0" collapsed="false">
      <c r="A184" s="10" t="n">
        <v>38.9307973384857</v>
      </c>
      <c r="B184" s="11" t="n">
        <v>380</v>
      </c>
      <c r="C184" s="12" t="n">
        <f aca="false">B184*'Correction factors'!$B$7</f>
        <v>1838.82</v>
      </c>
      <c r="D184" s="13" t="n">
        <v>2.925033</v>
      </c>
      <c r="E184" s="14" t="n">
        <v>272</v>
      </c>
      <c r="F184" s="10" t="n">
        <f aca="false">E184/'Correction factors'!$B$10</f>
        <v>21.9368</v>
      </c>
      <c r="G184" s="11" t="n">
        <v>388</v>
      </c>
    </row>
    <row r="185" customFormat="false" ht="15" hidden="false" customHeight="false" outlineLevel="0" collapsed="false">
      <c r="A185" s="10" t="n">
        <v>38.9307973384857</v>
      </c>
      <c r="B185" s="11" t="n">
        <v>360</v>
      </c>
      <c r="C185" s="12" t="n">
        <f aca="false">B185*'Correction factors'!$B$7</f>
        <v>1742.04</v>
      </c>
      <c r="D185" s="13" t="n">
        <v>2.925033</v>
      </c>
      <c r="E185" s="14" t="n">
        <v>264</v>
      </c>
      <c r="F185" s="10" t="n">
        <f aca="false">E185/'Correction factors'!$B$10</f>
        <v>21.2916</v>
      </c>
      <c r="G185" s="11" t="n">
        <v>389</v>
      </c>
    </row>
    <row r="186" customFormat="false" ht="15" hidden="false" customHeight="false" outlineLevel="0" collapsed="false">
      <c r="A186" s="10" t="n">
        <v>39.3972792625427</v>
      </c>
      <c r="B186" s="11" t="n">
        <v>380</v>
      </c>
      <c r="C186" s="12" t="n">
        <f aca="false">B186*'Correction factors'!$B$7</f>
        <v>1838.82</v>
      </c>
      <c r="D186" s="13" t="n">
        <v>2.915211</v>
      </c>
      <c r="E186" s="14" t="n">
        <v>272</v>
      </c>
      <c r="F186" s="10" t="n">
        <f aca="false">E186/'Correction factors'!$B$10</f>
        <v>21.9368</v>
      </c>
      <c r="G186" s="11" t="n">
        <v>389</v>
      </c>
    </row>
    <row r="187" customFormat="false" ht="15" hidden="false" customHeight="false" outlineLevel="0" collapsed="false">
      <c r="A187" s="10" t="n">
        <v>39.3972792625427</v>
      </c>
      <c r="B187" s="11" t="n">
        <v>360</v>
      </c>
      <c r="C187" s="12" t="n">
        <f aca="false">B187*'Correction factors'!$B$7</f>
        <v>1742.04</v>
      </c>
      <c r="D187" s="13" t="n">
        <v>2.905389</v>
      </c>
      <c r="E187" s="14" t="n">
        <v>272</v>
      </c>
      <c r="F187" s="10" t="n">
        <f aca="false">E187/'Correction factors'!$B$10</f>
        <v>21.9368</v>
      </c>
      <c r="G187" s="11" t="n">
        <v>389</v>
      </c>
    </row>
    <row r="188" customFormat="false" ht="15" hidden="false" customHeight="false" outlineLevel="0" collapsed="false">
      <c r="A188" s="10" t="n">
        <v>39.3972792625427</v>
      </c>
      <c r="B188" s="11" t="n">
        <v>360</v>
      </c>
      <c r="C188" s="12" t="n">
        <f aca="false">B188*'Correction factors'!$B$7</f>
        <v>1742.04</v>
      </c>
      <c r="D188" s="13" t="n">
        <v>2.895568</v>
      </c>
      <c r="E188" s="14" t="n">
        <v>264</v>
      </c>
      <c r="F188" s="10" t="n">
        <f aca="false">E188/'Correction factors'!$B$10</f>
        <v>21.2916</v>
      </c>
      <c r="G188" s="11" t="n">
        <v>389</v>
      </c>
    </row>
    <row r="189" customFormat="false" ht="15" hidden="false" customHeight="false" outlineLevel="0" collapsed="false">
      <c r="A189" s="10" t="n">
        <v>39.8894820213318</v>
      </c>
      <c r="B189" s="11" t="n">
        <v>360</v>
      </c>
      <c r="C189" s="12" t="n">
        <f aca="false">B189*'Correction factors'!$B$7</f>
        <v>1742.04</v>
      </c>
      <c r="D189" s="13" t="n">
        <v>2.895568</v>
      </c>
      <c r="E189" s="14" t="n">
        <v>264</v>
      </c>
      <c r="F189" s="10" t="n">
        <f aca="false">E189/'Correction factors'!$B$10</f>
        <v>21.2916</v>
      </c>
      <c r="G189" s="11" t="n">
        <v>390</v>
      </c>
    </row>
    <row r="190" customFormat="false" ht="15" hidden="false" customHeight="false" outlineLevel="0" collapsed="false">
      <c r="A190" s="10" t="n">
        <v>39.8894820213318</v>
      </c>
      <c r="B190" s="11" t="n">
        <v>360</v>
      </c>
      <c r="C190" s="12" t="n">
        <f aca="false">B190*'Correction factors'!$B$7</f>
        <v>1742.04</v>
      </c>
      <c r="D190" s="13" t="n">
        <v>2.885746</v>
      </c>
      <c r="E190" s="14" t="n">
        <v>264</v>
      </c>
      <c r="F190" s="10" t="n">
        <f aca="false">E190/'Correction factors'!$B$10</f>
        <v>21.2916</v>
      </c>
      <c r="G190" s="11" t="n">
        <v>390</v>
      </c>
    </row>
    <row r="191" customFormat="false" ht="15" hidden="false" customHeight="false" outlineLevel="0" collapsed="false">
      <c r="A191" s="10" t="n">
        <v>40.3616197109222</v>
      </c>
      <c r="B191" s="11" t="n">
        <v>360</v>
      </c>
      <c r="C191" s="12" t="n">
        <f aca="false">B191*'Correction factors'!$B$7</f>
        <v>1742.04</v>
      </c>
      <c r="D191" s="13" t="n">
        <v>2.885746</v>
      </c>
      <c r="E191" s="14" t="n">
        <v>264</v>
      </c>
      <c r="F191" s="10" t="n">
        <f aca="false">E191/'Correction factors'!$B$10</f>
        <v>21.2916</v>
      </c>
      <c r="G191" s="11" t="n">
        <v>391</v>
      </c>
    </row>
    <row r="192" customFormat="false" ht="15" hidden="false" customHeight="false" outlineLevel="0" collapsed="false">
      <c r="A192" s="10" t="n">
        <v>40.3616197109222</v>
      </c>
      <c r="B192" s="11" t="n">
        <v>340</v>
      </c>
      <c r="C192" s="12" t="n">
        <f aca="false">B192*'Correction factors'!$B$7</f>
        <v>1645.26</v>
      </c>
      <c r="D192" s="13" t="n">
        <v>2.875925</v>
      </c>
      <c r="E192" s="14" t="n">
        <v>264</v>
      </c>
      <c r="F192" s="10" t="n">
        <f aca="false">E192/'Correction factors'!$B$10</f>
        <v>21.2916</v>
      </c>
      <c r="G192" s="11" t="n">
        <v>393</v>
      </c>
    </row>
    <row r="193" customFormat="false" ht="15" hidden="false" customHeight="false" outlineLevel="0" collapsed="false">
      <c r="A193" s="10" t="n">
        <v>40.8206198215485</v>
      </c>
      <c r="B193" s="11" t="n">
        <v>360</v>
      </c>
      <c r="C193" s="12" t="n">
        <f aca="false">B193*'Correction factors'!$B$7</f>
        <v>1742.04</v>
      </c>
      <c r="D193" s="13" t="n">
        <v>2.866103</v>
      </c>
      <c r="E193" s="14" t="n">
        <v>272</v>
      </c>
      <c r="F193" s="10" t="n">
        <f aca="false">E193/'Correction factors'!$B$10</f>
        <v>21.9368</v>
      </c>
      <c r="G193" s="11" t="n">
        <v>395</v>
      </c>
    </row>
    <row r="194" customFormat="false" ht="15" hidden="false" customHeight="false" outlineLevel="0" collapsed="false">
      <c r="A194" s="10" t="n">
        <v>40.8206198215485</v>
      </c>
      <c r="B194" s="11" t="n">
        <v>340</v>
      </c>
      <c r="C194" s="12" t="n">
        <f aca="false">B194*'Correction factors'!$B$7</f>
        <v>1645.26</v>
      </c>
      <c r="D194" s="13" t="n">
        <v>2.856282</v>
      </c>
      <c r="E194" s="14" t="n">
        <v>264</v>
      </c>
      <c r="F194" s="10" t="n">
        <f aca="false">E194/'Correction factors'!$B$10</f>
        <v>21.2916</v>
      </c>
      <c r="G194" s="11" t="n">
        <v>395</v>
      </c>
    </row>
    <row r="195" customFormat="false" ht="15" hidden="false" customHeight="false" outlineLevel="0" collapsed="false">
      <c r="A195" s="10" t="n">
        <v>40.8206198215485</v>
      </c>
      <c r="B195" s="11" t="n">
        <v>360</v>
      </c>
      <c r="C195" s="12" t="n">
        <f aca="false">B195*'Correction factors'!$B$7</f>
        <v>1742.04</v>
      </c>
      <c r="D195" s="13" t="n">
        <v>2.866103</v>
      </c>
      <c r="E195" s="14" t="n">
        <v>264</v>
      </c>
      <c r="F195" s="10" t="n">
        <f aca="false">E195/'Correction factors'!$B$10</f>
        <v>21.2916</v>
      </c>
      <c r="G195" s="11" t="n">
        <v>397</v>
      </c>
    </row>
    <row r="196" customFormat="false" ht="15" hidden="false" customHeight="false" outlineLevel="0" collapsed="false">
      <c r="A196" s="10" t="n">
        <v>41.3531339168549</v>
      </c>
      <c r="B196" s="11" t="n">
        <v>360</v>
      </c>
      <c r="C196" s="12" t="n">
        <f aca="false">B196*'Correction factors'!$B$7</f>
        <v>1742.04</v>
      </c>
      <c r="D196" s="13" t="n">
        <v>2.856282</v>
      </c>
      <c r="E196" s="14" t="n">
        <v>264</v>
      </c>
      <c r="F196" s="10" t="n">
        <f aca="false">E196/'Correction factors'!$B$10</f>
        <v>21.2916</v>
      </c>
      <c r="G196" s="11" t="n">
        <v>397</v>
      </c>
    </row>
    <row r="197" customFormat="false" ht="15" hidden="false" customHeight="false" outlineLevel="0" collapsed="false">
      <c r="A197" s="10" t="n">
        <v>41.3531339168549</v>
      </c>
      <c r="B197" s="11" t="n">
        <v>340</v>
      </c>
      <c r="C197" s="12" t="n">
        <f aca="false">B197*'Correction factors'!$B$7</f>
        <v>1645.26</v>
      </c>
      <c r="D197" s="13" t="n">
        <v>2.856282</v>
      </c>
      <c r="E197" s="14" t="n">
        <v>256</v>
      </c>
      <c r="F197" s="10" t="n">
        <f aca="false">E197/'Correction factors'!$B$10</f>
        <v>20.6464</v>
      </c>
      <c r="G197" s="11" t="n">
        <v>397</v>
      </c>
    </row>
    <row r="198" customFormat="false" ht="15" hidden="false" customHeight="false" outlineLevel="0" collapsed="false">
      <c r="A198" s="10" t="n">
        <v>41.83473944664</v>
      </c>
      <c r="B198" s="11" t="n">
        <v>360</v>
      </c>
      <c r="C198" s="12" t="n">
        <f aca="false">B198*'Correction factors'!$B$7</f>
        <v>1742.04</v>
      </c>
      <c r="D198" s="13" t="n">
        <v>2.856282</v>
      </c>
      <c r="E198" s="14" t="n">
        <v>264</v>
      </c>
      <c r="F198" s="10" t="n">
        <f aca="false">E198/'Correction factors'!$B$10</f>
        <v>21.2916</v>
      </c>
      <c r="G198" s="11" t="n">
        <v>398</v>
      </c>
    </row>
    <row r="199" customFormat="false" ht="15" hidden="false" customHeight="false" outlineLevel="0" collapsed="false">
      <c r="A199" s="10" t="n">
        <v>41.83473944664</v>
      </c>
      <c r="B199" s="11" t="n">
        <v>360</v>
      </c>
      <c r="C199" s="12" t="n">
        <f aca="false">B199*'Correction factors'!$B$7</f>
        <v>1742.04</v>
      </c>
      <c r="D199" s="13" t="n">
        <v>2.836638</v>
      </c>
      <c r="E199" s="14" t="n">
        <v>256</v>
      </c>
      <c r="F199" s="10" t="n">
        <f aca="false">E199/'Correction factors'!$B$10</f>
        <v>20.6464</v>
      </c>
      <c r="G199" s="11" t="n">
        <v>398</v>
      </c>
    </row>
    <row r="200" customFormat="false" ht="15" hidden="false" customHeight="false" outlineLevel="0" collapsed="false">
      <c r="A200" s="10" t="n">
        <v>42.3682534694672</v>
      </c>
      <c r="B200" s="11" t="n">
        <v>360</v>
      </c>
      <c r="C200" s="12" t="n">
        <f aca="false">B200*'Correction factors'!$B$7</f>
        <v>1742.04</v>
      </c>
      <c r="D200" s="13" t="n">
        <v>2.836638</v>
      </c>
      <c r="E200" s="14" t="n">
        <v>264</v>
      </c>
      <c r="F200" s="10" t="n">
        <f aca="false">E200/'Correction factors'!$B$10</f>
        <v>21.2916</v>
      </c>
      <c r="G200" s="11" t="n">
        <v>398</v>
      </c>
    </row>
    <row r="201" customFormat="false" ht="15" hidden="false" customHeight="false" outlineLevel="0" collapsed="false">
      <c r="A201" s="10" t="n">
        <v>42.3682534694672</v>
      </c>
      <c r="B201" s="11" t="n">
        <v>340</v>
      </c>
      <c r="C201" s="12" t="n">
        <f aca="false">B201*'Correction factors'!$B$7</f>
        <v>1645.26</v>
      </c>
      <c r="D201" s="13" t="n">
        <v>2.826817</v>
      </c>
      <c r="E201" s="14" t="n">
        <v>256</v>
      </c>
      <c r="F201" s="10" t="n">
        <f aca="false">E201/'Correction factors'!$B$10</f>
        <v>20.6464</v>
      </c>
      <c r="G201" s="11" t="n">
        <v>398</v>
      </c>
    </row>
    <row r="202" customFormat="false" ht="15" hidden="false" customHeight="false" outlineLevel="0" collapsed="false">
      <c r="A202" s="10" t="n">
        <v>42.3682534694672</v>
      </c>
      <c r="B202" s="11" t="n">
        <v>360</v>
      </c>
      <c r="C202" s="12" t="n">
        <f aca="false">B202*'Correction factors'!$B$7</f>
        <v>1742.04</v>
      </c>
      <c r="D202" s="13" t="n">
        <v>2.816995</v>
      </c>
      <c r="E202" s="14" t="n">
        <v>264</v>
      </c>
      <c r="F202" s="10" t="n">
        <f aca="false">E202/'Correction factors'!$B$10</f>
        <v>21.2916</v>
      </c>
      <c r="G202" s="11" t="n">
        <v>401</v>
      </c>
    </row>
    <row r="203" customFormat="false" ht="15" hidden="false" customHeight="false" outlineLevel="0" collapsed="false">
      <c r="A203" s="10" t="n">
        <v>42.8648362159729</v>
      </c>
      <c r="B203" s="11" t="n">
        <v>360</v>
      </c>
      <c r="C203" s="12" t="n">
        <f aca="false">B203*'Correction factors'!$B$7</f>
        <v>1742.04</v>
      </c>
      <c r="D203" s="13" t="n">
        <v>2.816995</v>
      </c>
      <c r="E203" s="14" t="n">
        <v>256</v>
      </c>
      <c r="F203" s="10" t="n">
        <f aca="false">E203/'Correction factors'!$B$10</f>
        <v>20.6464</v>
      </c>
      <c r="G203" s="11" t="n">
        <v>402</v>
      </c>
    </row>
    <row r="204" customFormat="false" ht="15" hidden="false" customHeight="false" outlineLevel="0" collapsed="false">
      <c r="A204" s="10" t="n">
        <v>42.8648362159729</v>
      </c>
      <c r="B204" s="11" t="n">
        <v>360</v>
      </c>
      <c r="C204" s="12" t="n">
        <f aca="false">B204*'Correction factors'!$B$7</f>
        <v>1742.04</v>
      </c>
      <c r="D204" s="13" t="n">
        <v>2.816995</v>
      </c>
      <c r="E204" s="14" t="n">
        <v>256</v>
      </c>
      <c r="F204" s="10" t="n">
        <f aca="false">E204/'Correction factors'!$B$10</f>
        <v>20.6464</v>
      </c>
      <c r="G204" s="11" t="n">
        <v>402</v>
      </c>
    </row>
    <row r="205" customFormat="false" ht="15" hidden="false" customHeight="false" outlineLevel="0" collapsed="false">
      <c r="A205" s="10" t="n">
        <v>43.322509765625</v>
      </c>
      <c r="B205" s="11" t="n">
        <v>340</v>
      </c>
      <c r="C205" s="12" t="n">
        <f aca="false">B205*'Correction factors'!$B$7</f>
        <v>1645.26</v>
      </c>
      <c r="D205" s="13" t="n">
        <v>2.807174</v>
      </c>
      <c r="E205" s="14" t="n">
        <v>264</v>
      </c>
      <c r="F205" s="10" t="n">
        <f aca="false">E205/'Correction factors'!$B$10</f>
        <v>21.2916</v>
      </c>
      <c r="G205" s="11" t="n">
        <v>402</v>
      </c>
    </row>
    <row r="206" customFormat="false" ht="15" hidden="false" customHeight="false" outlineLevel="0" collapsed="false">
      <c r="A206" s="10" t="n">
        <v>43.322509765625</v>
      </c>
      <c r="B206" s="11" t="n">
        <v>340</v>
      </c>
      <c r="C206" s="12" t="n">
        <f aca="false">B206*'Correction factors'!$B$7</f>
        <v>1645.26</v>
      </c>
      <c r="D206" s="13" t="n">
        <v>2.807174</v>
      </c>
      <c r="E206" s="14" t="n">
        <v>256</v>
      </c>
      <c r="F206" s="10" t="n">
        <f aca="false">E206/'Correction factors'!$B$10</f>
        <v>20.6464</v>
      </c>
      <c r="G206" s="11" t="n">
        <v>403</v>
      </c>
    </row>
    <row r="207" customFormat="false" ht="15" hidden="false" customHeight="false" outlineLevel="0" collapsed="false">
      <c r="A207" s="10" t="n">
        <v>43.322509765625</v>
      </c>
      <c r="B207" s="11" t="n">
        <v>340</v>
      </c>
      <c r="C207" s="12" t="n">
        <f aca="false">B207*'Correction factors'!$B$7</f>
        <v>1645.26</v>
      </c>
      <c r="D207" s="13" t="n">
        <v>2.78753</v>
      </c>
      <c r="E207" s="14" t="n">
        <v>256</v>
      </c>
      <c r="F207" s="10" t="n">
        <f aca="false">E207/'Correction factors'!$B$10</f>
        <v>20.6464</v>
      </c>
      <c r="G207" s="11" t="n">
        <v>405</v>
      </c>
    </row>
    <row r="208" customFormat="false" ht="15" hidden="false" customHeight="false" outlineLevel="0" collapsed="false">
      <c r="A208" s="10" t="n">
        <v>43.8139848709106</v>
      </c>
      <c r="B208" s="11" t="n">
        <v>340</v>
      </c>
      <c r="C208" s="12" t="n">
        <f aca="false">B208*'Correction factors'!$B$7</f>
        <v>1645.26</v>
      </c>
      <c r="D208" s="13" t="n">
        <v>2.777709</v>
      </c>
      <c r="E208" s="14" t="n">
        <v>264</v>
      </c>
      <c r="F208" s="10" t="n">
        <f aca="false">E208/'Correction factors'!$B$10</f>
        <v>21.2916</v>
      </c>
      <c r="G208" s="11" t="n">
        <v>405</v>
      </c>
    </row>
    <row r="209" customFormat="false" ht="15" hidden="false" customHeight="false" outlineLevel="0" collapsed="false">
      <c r="A209" s="10" t="n">
        <v>43.8139848709106</v>
      </c>
      <c r="B209" s="11" t="n">
        <v>360</v>
      </c>
      <c r="C209" s="12" t="n">
        <f aca="false">B209*'Correction factors'!$B$7</f>
        <v>1742.04</v>
      </c>
      <c r="D209" s="13" t="n">
        <v>2.777709</v>
      </c>
      <c r="E209" s="14" t="n">
        <v>256</v>
      </c>
      <c r="F209" s="10" t="n">
        <f aca="false">E209/'Correction factors'!$B$10</f>
        <v>20.6464</v>
      </c>
      <c r="G209" s="11" t="n">
        <v>406</v>
      </c>
    </row>
    <row r="210" customFormat="false" ht="15" hidden="false" customHeight="false" outlineLevel="0" collapsed="false">
      <c r="A210" s="10" t="n">
        <v>44.2654383182526</v>
      </c>
      <c r="B210" s="11" t="n">
        <v>340</v>
      </c>
      <c r="C210" s="12" t="n">
        <f aca="false">B210*'Correction factors'!$B$7</f>
        <v>1645.26</v>
      </c>
      <c r="D210" s="13" t="n">
        <v>2.777709</v>
      </c>
      <c r="E210" s="14" t="n">
        <v>256</v>
      </c>
      <c r="F210" s="10" t="n">
        <f aca="false">E210/'Correction factors'!$B$10</f>
        <v>20.6464</v>
      </c>
      <c r="G210" s="11" t="n">
        <v>406</v>
      </c>
    </row>
    <row r="211" customFormat="false" ht="15" hidden="false" customHeight="false" outlineLevel="0" collapsed="false">
      <c r="A211" s="10" t="n">
        <v>44.2654383182526</v>
      </c>
      <c r="B211" s="11" t="n">
        <v>340</v>
      </c>
      <c r="C211" s="12" t="n">
        <f aca="false">B211*'Correction factors'!$B$7</f>
        <v>1645.26</v>
      </c>
      <c r="D211" s="13" t="n">
        <v>2.767887</v>
      </c>
      <c r="E211" s="14" t="n">
        <v>264</v>
      </c>
      <c r="F211" s="10" t="n">
        <f aca="false">E211/'Correction factors'!$B$10</f>
        <v>21.2916</v>
      </c>
      <c r="G211" s="11" t="n">
        <v>408</v>
      </c>
    </row>
    <row r="212" customFormat="false" ht="15" hidden="false" customHeight="false" outlineLevel="0" collapsed="false">
      <c r="A212" s="10" t="n">
        <v>44.7257556915283</v>
      </c>
      <c r="B212" s="11" t="n">
        <v>340</v>
      </c>
      <c r="C212" s="12" t="n">
        <f aca="false">B212*'Correction factors'!$B$7</f>
        <v>1645.26</v>
      </c>
      <c r="D212" s="13" t="n">
        <v>2.748244</v>
      </c>
      <c r="E212" s="14" t="n">
        <v>264</v>
      </c>
      <c r="F212" s="10" t="n">
        <f aca="false">E212/'Correction factors'!$B$10</f>
        <v>21.2916</v>
      </c>
      <c r="G212" s="11" t="n">
        <v>410</v>
      </c>
    </row>
    <row r="213" customFormat="false" ht="15" hidden="false" customHeight="false" outlineLevel="0" collapsed="false">
      <c r="A213" s="10" t="n">
        <v>44.7257556915283</v>
      </c>
      <c r="B213" s="11" t="n">
        <v>340</v>
      </c>
      <c r="C213" s="12" t="n">
        <f aca="false">B213*'Correction factors'!$B$7</f>
        <v>1645.26</v>
      </c>
      <c r="D213" s="13" t="n">
        <v>2.748244</v>
      </c>
      <c r="E213" s="14" t="n">
        <v>264</v>
      </c>
      <c r="F213" s="10" t="n">
        <f aca="false">E213/'Correction factors'!$B$10</f>
        <v>21.2916</v>
      </c>
      <c r="G213" s="11" t="n">
        <v>410</v>
      </c>
    </row>
    <row r="214" customFormat="false" ht="15" hidden="false" customHeight="false" outlineLevel="0" collapsed="false">
      <c r="A214" s="10" t="n">
        <v>45.1919949054718</v>
      </c>
      <c r="B214" s="11" t="n">
        <v>340</v>
      </c>
      <c r="C214" s="12" t="n">
        <f aca="false">B214*'Correction factors'!$B$7</f>
        <v>1645.26</v>
      </c>
      <c r="D214" s="13" t="n">
        <v>2.738422</v>
      </c>
      <c r="E214" s="14" t="n">
        <v>256</v>
      </c>
      <c r="F214" s="10" t="n">
        <f aca="false">E214/'Correction factors'!$B$10</f>
        <v>20.6464</v>
      </c>
      <c r="G214" s="11" t="n">
        <v>412</v>
      </c>
    </row>
    <row r="215" customFormat="false" ht="15" hidden="false" customHeight="false" outlineLevel="0" collapsed="false">
      <c r="A215" s="10" t="n">
        <v>45.1919949054718</v>
      </c>
      <c r="B215" s="11" t="n">
        <v>340</v>
      </c>
      <c r="C215" s="12" t="n">
        <f aca="false">B215*'Correction factors'!$B$7</f>
        <v>1645.26</v>
      </c>
      <c r="D215" s="13" t="n">
        <v>2.728601</v>
      </c>
      <c r="E215" s="14" t="n">
        <v>264</v>
      </c>
      <c r="F215" s="10" t="n">
        <f aca="false">E215/'Correction factors'!$B$10</f>
        <v>21.2916</v>
      </c>
      <c r="G215" s="11" t="n">
        <v>412</v>
      </c>
    </row>
    <row r="216" customFormat="false" ht="15" hidden="false" customHeight="false" outlineLevel="0" collapsed="false">
      <c r="A216" s="10" t="n">
        <v>45.1919949054718</v>
      </c>
      <c r="B216" s="11" t="n">
        <v>340</v>
      </c>
      <c r="C216" s="12" t="n">
        <f aca="false">B216*'Correction factors'!$B$7</f>
        <v>1645.26</v>
      </c>
      <c r="D216" s="13" t="n">
        <v>2.718779</v>
      </c>
      <c r="E216" s="14" t="n">
        <v>264</v>
      </c>
      <c r="F216" s="10" t="n">
        <f aca="false">E216/'Correction factors'!$B$10</f>
        <v>21.2916</v>
      </c>
      <c r="G216" s="11" t="n">
        <v>412</v>
      </c>
    </row>
    <row r="217" customFormat="false" ht="15" hidden="false" customHeight="false" outlineLevel="0" collapsed="false">
      <c r="A217" s="10" t="n">
        <v>45.6585605144501</v>
      </c>
      <c r="B217" s="11" t="n">
        <v>340</v>
      </c>
      <c r="C217" s="12" t="n">
        <f aca="false">B217*'Correction factors'!$B$7</f>
        <v>1645.26</v>
      </c>
      <c r="D217" s="13" t="n">
        <v>2.718779</v>
      </c>
      <c r="E217" s="14" t="n">
        <v>264</v>
      </c>
      <c r="F217" s="10" t="n">
        <f aca="false">E217/'Correction factors'!$B$10</f>
        <v>21.2916</v>
      </c>
      <c r="G217" s="11" t="n">
        <v>413</v>
      </c>
    </row>
    <row r="218" customFormat="false" ht="15" hidden="false" customHeight="false" outlineLevel="0" collapsed="false">
      <c r="A218" s="10" t="n">
        <v>45.6585605144501</v>
      </c>
      <c r="B218" s="11" t="n">
        <v>340</v>
      </c>
      <c r="C218" s="12" t="n">
        <f aca="false">B218*'Correction factors'!$B$7</f>
        <v>1645.26</v>
      </c>
      <c r="D218" s="13" t="n">
        <v>2.699136</v>
      </c>
      <c r="E218" s="14" t="n">
        <v>272</v>
      </c>
      <c r="F218" s="10" t="n">
        <f aca="false">E218/'Correction factors'!$B$10</f>
        <v>21.9368</v>
      </c>
      <c r="G218" s="11" t="n">
        <v>413</v>
      </c>
    </row>
    <row r="219" customFormat="false" ht="15" hidden="false" customHeight="false" outlineLevel="0" collapsed="false">
      <c r="A219" s="10" t="n">
        <v>46.0999660491943</v>
      </c>
      <c r="B219" s="11" t="n">
        <v>340</v>
      </c>
      <c r="C219" s="12" t="n">
        <f aca="false">B219*'Correction factors'!$B$7</f>
        <v>1645.26</v>
      </c>
      <c r="D219" s="13" t="n">
        <v>2.689314</v>
      </c>
      <c r="E219" s="14" t="n">
        <v>264</v>
      </c>
      <c r="F219" s="10" t="n">
        <f aca="false">E219/'Correction factors'!$B$10</f>
        <v>21.2916</v>
      </c>
      <c r="G219" s="11" t="n">
        <v>414</v>
      </c>
    </row>
    <row r="220" customFormat="false" ht="15" hidden="false" customHeight="false" outlineLevel="0" collapsed="false">
      <c r="A220" s="10" t="n">
        <v>46.0999660491943</v>
      </c>
      <c r="B220" s="11" t="n">
        <v>360</v>
      </c>
      <c r="C220" s="12" t="n">
        <f aca="false">B220*'Correction factors'!$B$7</f>
        <v>1742.04</v>
      </c>
      <c r="D220" s="13" t="n">
        <v>2.669671</v>
      </c>
      <c r="E220" s="14" t="n">
        <v>272</v>
      </c>
      <c r="F220" s="10" t="n">
        <f aca="false">E220/'Correction factors'!$B$10</f>
        <v>21.9368</v>
      </c>
      <c r="G220" s="11" t="n">
        <v>414</v>
      </c>
    </row>
    <row r="221" customFormat="false" ht="15" hidden="false" customHeight="false" outlineLevel="0" collapsed="false">
      <c r="A221" s="10" t="n">
        <v>46.5250976085663</v>
      </c>
      <c r="B221" s="11" t="n">
        <v>360</v>
      </c>
      <c r="C221" s="12" t="n">
        <f aca="false">B221*'Correction factors'!$B$7</f>
        <v>1742.04</v>
      </c>
      <c r="D221" s="13" t="n">
        <v>2.65985</v>
      </c>
      <c r="E221" s="14" t="n">
        <v>272</v>
      </c>
      <c r="F221" s="10" t="n">
        <f aca="false">E221/'Correction factors'!$B$10</f>
        <v>21.9368</v>
      </c>
      <c r="G221" s="11" t="n">
        <v>415</v>
      </c>
    </row>
    <row r="222" customFormat="false" ht="15" hidden="false" customHeight="false" outlineLevel="0" collapsed="false">
      <c r="A222" s="10" t="n">
        <v>46.5250976085663</v>
      </c>
      <c r="B222" s="11" t="n">
        <v>360</v>
      </c>
      <c r="C222" s="12" t="n">
        <f aca="false">B222*'Correction factors'!$B$7</f>
        <v>1742.04</v>
      </c>
      <c r="D222" s="13" t="n">
        <v>2.640206</v>
      </c>
      <c r="E222" s="14" t="n">
        <v>264</v>
      </c>
      <c r="F222" s="10" t="n">
        <f aca="false">E222/'Correction factors'!$B$10</f>
        <v>21.2916</v>
      </c>
      <c r="G222" s="11" t="n">
        <v>415</v>
      </c>
    </row>
    <row r="223" customFormat="false" ht="15" hidden="false" customHeight="false" outlineLevel="0" collapsed="false">
      <c r="A223" s="10" t="n">
        <v>46.9932444095612</v>
      </c>
      <c r="B223" s="11" t="n">
        <v>360</v>
      </c>
      <c r="C223" s="12" t="n">
        <f aca="false">B223*'Correction factors'!$B$7</f>
        <v>1742.04</v>
      </c>
      <c r="D223" s="13" t="n">
        <v>2.630385</v>
      </c>
      <c r="E223" s="14" t="n">
        <v>272</v>
      </c>
      <c r="F223" s="10" t="n">
        <f aca="false">E223/'Correction factors'!$B$10</f>
        <v>21.9368</v>
      </c>
      <c r="G223" s="11" t="n">
        <v>415</v>
      </c>
    </row>
    <row r="224" customFormat="false" ht="15" hidden="false" customHeight="false" outlineLevel="0" collapsed="false">
      <c r="A224" s="10" t="n">
        <v>46.9932444095612</v>
      </c>
      <c r="B224" s="11" t="n">
        <v>360</v>
      </c>
      <c r="C224" s="12" t="n">
        <f aca="false">B224*'Correction factors'!$B$7</f>
        <v>1742.04</v>
      </c>
      <c r="D224" s="13" t="n">
        <v>2.620563</v>
      </c>
      <c r="E224" s="14" t="n">
        <v>272</v>
      </c>
      <c r="F224" s="10" t="n">
        <f aca="false">E224/'Correction factors'!$B$10</f>
        <v>21.9368</v>
      </c>
      <c r="G224" s="11" t="n">
        <v>415</v>
      </c>
    </row>
    <row r="225" customFormat="false" ht="15" hidden="false" customHeight="false" outlineLevel="0" collapsed="false">
      <c r="A225" s="10" t="n">
        <v>47.4154400825501</v>
      </c>
      <c r="B225" s="11" t="n">
        <v>340</v>
      </c>
      <c r="C225" s="12" t="n">
        <f aca="false">B225*'Correction factors'!$B$7</f>
        <v>1645.26</v>
      </c>
      <c r="D225" s="13" t="n">
        <v>2.60092</v>
      </c>
      <c r="E225" s="14" t="n">
        <v>264</v>
      </c>
      <c r="F225" s="10" t="n">
        <f aca="false">E225/'Correction factors'!$B$10</f>
        <v>21.2916</v>
      </c>
      <c r="G225" s="11" t="n">
        <v>417</v>
      </c>
    </row>
    <row r="226" customFormat="false" ht="15" hidden="false" customHeight="false" outlineLevel="0" collapsed="false">
      <c r="A226" s="10" t="n">
        <v>47.4154400825501</v>
      </c>
      <c r="B226" s="11" t="n">
        <v>360</v>
      </c>
      <c r="C226" s="12" t="n">
        <f aca="false">B226*'Correction factors'!$B$7</f>
        <v>1742.04</v>
      </c>
      <c r="D226" s="13" t="n">
        <v>2.591098</v>
      </c>
      <c r="E226" s="14" t="n">
        <v>272</v>
      </c>
      <c r="F226" s="10" t="n">
        <f aca="false">E226/'Correction factors'!$B$10</f>
        <v>21.9368</v>
      </c>
      <c r="G226" s="11" t="n">
        <v>417</v>
      </c>
    </row>
    <row r="227" customFormat="false" ht="15" hidden="false" customHeight="false" outlineLevel="0" collapsed="false">
      <c r="A227" s="10" t="n">
        <v>47.8451230525971</v>
      </c>
      <c r="B227" s="11" t="n">
        <v>360</v>
      </c>
      <c r="C227" s="12" t="n">
        <f aca="false">B227*'Correction factors'!$B$7</f>
        <v>1742.04</v>
      </c>
      <c r="D227" s="13" t="n">
        <v>2.581277</v>
      </c>
      <c r="E227" s="14" t="n">
        <v>272</v>
      </c>
      <c r="F227" s="10" t="n">
        <f aca="false">E227/'Correction factors'!$B$10</f>
        <v>21.9368</v>
      </c>
      <c r="G227" s="11" t="n">
        <v>418</v>
      </c>
    </row>
    <row r="228" customFormat="false" ht="15" hidden="false" customHeight="false" outlineLevel="0" collapsed="false">
      <c r="A228" s="10" t="n">
        <v>47.8451230525971</v>
      </c>
      <c r="B228" s="11" t="n">
        <v>360</v>
      </c>
      <c r="C228" s="12" t="n">
        <f aca="false">B228*'Correction factors'!$B$7</f>
        <v>1742.04</v>
      </c>
      <c r="D228" s="13" t="n">
        <v>2.571455</v>
      </c>
      <c r="E228" s="14" t="n">
        <v>280</v>
      </c>
      <c r="F228" s="10" t="n">
        <f aca="false">E228/'Correction factors'!$B$10</f>
        <v>22.582</v>
      </c>
      <c r="G228" s="11" t="n">
        <v>418</v>
      </c>
    </row>
    <row r="229" customFormat="false" ht="15" hidden="false" customHeight="false" outlineLevel="0" collapsed="false">
      <c r="A229" s="10" t="n">
        <v>48.2759115695953</v>
      </c>
      <c r="B229" s="11" t="n">
        <v>360</v>
      </c>
      <c r="C229" s="12" t="n">
        <f aca="false">B229*'Correction factors'!$B$7</f>
        <v>1742.04</v>
      </c>
      <c r="D229" s="13" t="n">
        <v>2.561634</v>
      </c>
      <c r="E229" s="14" t="n">
        <v>272</v>
      </c>
      <c r="F229" s="10" t="n">
        <f aca="false">E229/'Correction factors'!$B$10</f>
        <v>21.9368</v>
      </c>
      <c r="G229" s="11" t="n">
        <v>418</v>
      </c>
    </row>
    <row r="230" customFormat="false" ht="15" hidden="false" customHeight="false" outlineLevel="0" collapsed="false">
      <c r="A230" s="10" t="n">
        <v>48.2759115695953</v>
      </c>
      <c r="B230" s="11" t="n">
        <v>360</v>
      </c>
      <c r="C230" s="12" t="n">
        <f aca="false">B230*'Correction factors'!$B$7</f>
        <v>1742.04</v>
      </c>
      <c r="D230" s="13" t="n">
        <v>2.551812</v>
      </c>
      <c r="E230" s="14" t="n">
        <v>280</v>
      </c>
      <c r="F230" s="10" t="n">
        <f aca="false">E230/'Correction factors'!$B$10</f>
        <v>22.582</v>
      </c>
      <c r="G230" s="11" t="n">
        <v>418</v>
      </c>
    </row>
    <row r="231" customFormat="false" ht="15" hidden="false" customHeight="false" outlineLevel="0" collapsed="false">
      <c r="A231" s="10" t="n">
        <v>48.6951107978821</v>
      </c>
      <c r="B231" s="11" t="n">
        <v>360</v>
      </c>
      <c r="C231" s="12" t="n">
        <f aca="false">B231*'Correction factors'!$B$7</f>
        <v>1742.04</v>
      </c>
      <c r="D231" s="13" t="n">
        <v>2.532169</v>
      </c>
      <c r="E231" s="14" t="n">
        <v>280</v>
      </c>
      <c r="F231" s="10" t="n">
        <f aca="false">E231/'Correction factors'!$B$10</f>
        <v>22.582</v>
      </c>
      <c r="G231" s="11" t="n">
        <v>420</v>
      </c>
    </row>
    <row r="232" customFormat="false" ht="15" hidden="false" customHeight="false" outlineLevel="0" collapsed="false">
      <c r="A232" s="10" t="n">
        <v>48.6951107978821</v>
      </c>
      <c r="B232" s="11" t="n">
        <v>360</v>
      </c>
      <c r="C232" s="12" t="n">
        <f aca="false">B232*'Correction factors'!$B$7</f>
        <v>1742.04</v>
      </c>
      <c r="D232" s="13" t="n">
        <v>2.522347</v>
      </c>
      <c r="E232" s="14" t="n">
        <v>280</v>
      </c>
      <c r="F232" s="10" t="n">
        <f aca="false">E232/'Correction factors'!$B$10</f>
        <v>22.582</v>
      </c>
      <c r="G232" s="11" t="n">
        <v>420</v>
      </c>
    </row>
    <row r="233" customFormat="false" ht="15" hidden="false" customHeight="false" outlineLevel="0" collapsed="false">
      <c r="A233" s="10" t="n">
        <v>49.1281206607819</v>
      </c>
      <c r="B233" s="11" t="n">
        <v>360</v>
      </c>
      <c r="C233" s="12" t="n">
        <f aca="false">B233*'Correction factors'!$B$7</f>
        <v>1742.04</v>
      </c>
      <c r="D233" s="13" t="n">
        <v>2.512526</v>
      </c>
      <c r="E233" s="14" t="n">
        <v>288</v>
      </c>
      <c r="F233" s="10" t="n">
        <f aca="false">E233/'Correction factors'!$B$10</f>
        <v>23.2272</v>
      </c>
      <c r="G233" s="11" t="n">
        <v>420</v>
      </c>
    </row>
    <row r="234" customFormat="false" ht="15" hidden="false" customHeight="false" outlineLevel="0" collapsed="false">
      <c r="A234" s="10" t="n">
        <v>49.1281206607819</v>
      </c>
      <c r="B234" s="11" t="n">
        <v>360</v>
      </c>
      <c r="C234" s="12" t="n">
        <f aca="false">B234*'Correction factors'!$B$7</f>
        <v>1742.04</v>
      </c>
      <c r="D234" s="13" t="n">
        <v>2.502704</v>
      </c>
      <c r="E234" s="14" t="n">
        <v>280</v>
      </c>
      <c r="F234" s="10" t="n">
        <f aca="false">E234/'Correction factors'!$B$10</f>
        <v>22.582</v>
      </c>
      <c r="G234" s="11" t="n">
        <v>421</v>
      </c>
    </row>
    <row r="235" customFormat="false" ht="15" hidden="false" customHeight="false" outlineLevel="0" collapsed="false">
      <c r="A235" s="10" t="n">
        <v>49.1281206607819</v>
      </c>
      <c r="B235" s="11" t="n">
        <v>340</v>
      </c>
      <c r="C235" s="12" t="n">
        <f aca="false">B235*'Correction factors'!$B$7</f>
        <v>1645.26</v>
      </c>
      <c r="D235" s="13" t="n">
        <v>2.492883</v>
      </c>
      <c r="E235" s="14" t="n">
        <v>280</v>
      </c>
      <c r="F235" s="10" t="n">
        <f aca="false">E235/'Correction factors'!$B$10</f>
        <v>22.582</v>
      </c>
      <c r="G235" s="11" t="n">
        <v>421</v>
      </c>
    </row>
    <row r="236" customFormat="false" ht="15" hidden="false" customHeight="false" outlineLevel="0" collapsed="false">
      <c r="A236" s="10" t="n">
        <v>49.6163618564606</v>
      </c>
      <c r="B236" s="11" t="n">
        <v>360</v>
      </c>
      <c r="C236" s="12" t="n">
        <f aca="false">B236*'Correction factors'!$B$7</f>
        <v>1742.04</v>
      </c>
      <c r="D236" s="13" t="n">
        <v>2.453596</v>
      </c>
      <c r="E236" s="14" t="n">
        <v>280</v>
      </c>
      <c r="F236" s="10" t="n">
        <f aca="false">E236/'Correction factors'!$B$10</f>
        <v>22.582</v>
      </c>
      <c r="G236" s="11" t="n">
        <v>427</v>
      </c>
    </row>
    <row r="237" customFormat="false" ht="15" hidden="false" customHeight="false" outlineLevel="0" collapsed="false">
      <c r="A237" s="10" t="n">
        <v>49.6163618564606</v>
      </c>
      <c r="B237" s="11" t="n">
        <v>380</v>
      </c>
      <c r="C237" s="12" t="n">
        <f aca="false">B237*'Correction factors'!$B$7</f>
        <v>1838.82</v>
      </c>
      <c r="D237" s="13" t="n">
        <v>2.443774</v>
      </c>
      <c r="E237" s="14" t="n">
        <v>312</v>
      </c>
      <c r="F237" s="10" t="n">
        <f aca="false">E237/'Correction factors'!$B$10</f>
        <v>25.1628</v>
      </c>
      <c r="G237" s="11" t="n">
        <v>427</v>
      </c>
    </row>
    <row r="238" customFormat="false" ht="15" hidden="false" customHeight="false" outlineLevel="0" collapsed="false">
      <c r="A238" s="10" t="n">
        <v>50.0934579372406</v>
      </c>
      <c r="B238" s="11" t="n">
        <v>360</v>
      </c>
      <c r="C238" s="12" t="n">
        <f aca="false">B238*'Correction factors'!$B$7</f>
        <v>1742.04</v>
      </c>
      <c r="D238" s="13" t="n">
        <v>2.41431</v>
      </c>
      <c r="E238" s="14" t="n">
        <v>304</v>
      </c>
      <c r="F238" s="10" t="n">
        <f aca="false">E238/'Correction factors'!$B$10</f>
        <v>24.5176</v>
      </c>
      <c r="G238" s="11" t="n">
        <v>426</v>
      </c>
    </row>
    <row r="239" customFormat="false" ht="15" hidden="false" customHeight="false" outlineLevel="0" collapsed="false">
      <c r="A239" s="10" t="n">
        <v>50.0934579372406</v>
      </c>
      <c r="B239" s="11" t="n">
        <v>360</v>
      </c>
      <c r="C239" s="12" t="n">
        <f aca="false">B239*'Correction factors'!$B$7</f>
        <v>1742.04</v>
      </c>
      <c r="D239" s="13" t="n">
        <v>2.394667</v>
      </c>
      <c r="E239" s="14" t="n">
        <v>304</v>
      </c>
      <c r="F239" s="10" t="n">
        <f aca="false">E239/'Correction factors'!$B$10</f>
        <v>24.5176</v>
      </c>
      <c r="G239" s="11" t="n">
        <v>427</v>
      </c>
    </row>
    <row r="240" customFormat="false" ht="15" hidden="false" customHeight="false" outlineLevel="0" collapsed="false">
      <c r="A240" s="10" t="n">
        <v>50.552953004837</v>
      </c>
      <c r="B240" s="11" t="n">
        <v>360</v>
      </c>
      <c r="C240" s="12" t="n">
        <f aca="false">B240*'Correction factors'!$B$7</f>
        <v>1742.04</v>
      </c>
      <c r="D240" s="13" t="n">
        <v>2.384845</v>
      </c>
      <c r="E240" s="14" t="n">
        <v>304</v>
      </c>
      <c r="F240" s="10" t="n">
        <f aca="false">E240/'Correction factors'!$B$10</f>
        <v>24.5176</v>
      </c>
      <c r="G240" s="11" t="n">
        <v>427</v>
      </c>
    </row>
    <row r="241" customFormat="false" ht="15" hidden="false" customHeight="false" outlineLevel="0" collapsed="false">
      <c r="A241" s="10" t="n">
        <v>50.552953004837</v>
      </c>
      <c r="B241" s="11" t="n">
        <v>360</v>
      </c>
      <c r="C241" s="12" t="n">
        <f aca="false">B241*'Correction factors'!$B$7</f>
        <v>1742.04</v>
      </c>
      <c r="D241" s="13" t="n">
        <v>2.375023</v>
      </c>
      <c r="E241" s="14" t="n">
        <v>296</v>
      </c>
      <c r="F241" s="10" t="n">
        <f aca="false">E241/'Correction factors'!$B$10</f>
        <v>23.8724</v>
      </c>
      <c r="G241" s="11" t="n">
        <v>427</v>
      </c>
    </row>
    <row r="242" customFormat="false" ht="15" hidden="false" customHeight="false" outlineLevel="0" collapsed="false">
      <c r="A242" s="10" t="n">
        <v>51.0013146400452</v>
      </c>
      <c r="B242" s="11" t="n">
        <v>360</v>
      </c>
      <c r="C242" s="12" t="n">
        <f aca="false">B242*'Correction factors'!$B$7</f>
        <v>1742.04</v>
      </c>
      <c r="D242" s="13" t="n">
        <v>2.35538</v>
      </c>
      <c r="E242" s="14" t="n">
        <v>296</v>
      </c>
      <c r="F242" s="10" t="n">
        <f aca="false">E242/'Correction factors'!$B$10</f>
        <v>23.8724</v>
      </c>
      <c r="G242" s="11" t="n">
        <v>429</v>
      </c>
    </row>
    <row r="243" customFormat="false" ht="15" hidden="false" customHeight="false" outlineLevel="0" collapsed="false">
      <c r="A243" s="10" t="n">
        <v>51.0013146400452</v>
      </c>
      <c r="B243" s="11" t="n">
        <v>360</v>
      </c>
      <c r="C243" s="12" t="n">
        <f aca="false">B243*'Correction factors'!$B$7</f>
        <v>1742.04</v>
      </c>
      <c r="D243" s="13" t="n">
        <v>2.345559</v>
      </c>
      <c r="E243" s="14" t="n">
        <v>296</v>
      </c>
      <c r="F243" s="10" t="n">
        <f aca="false">E243/'Correction factors'!$B$10</f>
        <v>23.8724</v>
      </c>
      <c r="G243" s="11" t="n">
        <v>429</v>
      </c>
    </row>
    <row r="244" customFormat="false" ht="15" hidden="false" customHeight="false" outlineLevel="0" collapsed="false">
      <c r="A244" s="10" t="n">
        <v>51.0013146400452</v>
      </c>
      <c r="B244" s="11" t="n">
        <v>360</v>
      </c>
      <c r="C244" s="12" t="n">
        <f aca="false">B244*'Correction factors'!$B$7</f>
        <v>1742.04</v>
      </c>
      <c r="D244" s="13" t="n">
        <v>2.335737</v>
      </c>
      <c r="E244" s="14" t="n">
        <v>296</v>
      </c>
      <c r="F244" s="10" t="n">
        <f aca="false">E244/'Correction factors'!$B$10</f>
        <v>23.8724</v>
      </c>
      <c r="G244" s="11" t="n">
        <v>429</v>
      </c>
    </row>
    <row r="245" customFormat="false" ht="15" hidden="false" customHeight="false" outlineLevel="0" collapsed="false">
      <c r="A245" s="10" t="n">
        <v>51.4904356002808</v>
      </c>
      <c r="B245" s="11" t="n">
        <v>340</v>
      </c>
      <c r="C245" s="12" t="n">
        <f aca="false">B245*'Correction factors'!$B$7</f>
        <v>1645.26</v>
      </c>
      <c r="D245" s="13" t="n">
        <v>2.316094</v>
      </c>
      <c r="E245" s="14" t="n">
        <v>296</v>
      </c>
      <c r="F245" s="10" t="n">
        <f aca="false">E245/'Correction factors'!$B$10</f>
        <v>23.8724</v>
      </c>
      <c r="G245" s="11" t="n">
        <v>430</v>
      </c>
    </row>
    <row r="246" customFormat="false" ht="15" hidden="false" customHeight="false" outlineLevel="0" collapsed="false">
      <c r="A246" s="10" t="n">
        <v>51.4904356002808</v>
      </c>
      <c r="B246" s="11" t="n">
        <v>340</v>
      </c>
      <c r="C246" s="12" t="n">
        <f aca="false">B246*'Correction factors'!$B$7</f>
        <v>1645.26</v>
      </c>
      <c r="D246" s="13" t="n">
        <v>2.306272</v>
      </c>
      <c r="E246" s="14" t="n">
        <v>304</v>
      </c>
      <c r="F246" s="10" t="n">
        <f aca="false">E246/'Correction factors'!$B$10</f>
        <v>24.5176</v>
      </c>
      <c r="G246" s="11" t="n">
        <v>431</v>
      </c>
    </row>
    <row r="247" customFormat="false" ht="15" hidden="false" customHeight="false" outlineLevel="0" collapsed="false">
      <c r="A247" s="10" t="n">
        <v>51.9605858325958</v>
      </c>
      <c r="B247" s="11" t="n">
        <v>340</v>
      </c>
      <c r="C247" s="12" t="n">
        <f aca="false">B247*'Correction factors'!$B$7</f>
        <v>1645.26</v>
      </c>
      <c r="D247" s="13" t="n">
        <v>2.286629</v>
      </c>
      <c r="E247" s="14" t="n">
        <v>296</v>
      </c>
      <c r="F247" s="10" t="n">
        <f aca="false">E247/'Correction factors'!$B$10</f>
        <v>23.8724</v>
      </c>
      <c r="G247" s="11" t="n">
        <v>434</v>
      </c>
    </row>
    <row r="248" customFormat="false" ht="15" hidden="false" customHeight="false" outlineLevel="0" collapsed="false">
      <c r="A248" s="10" t="n">
        <v>51.9605858325958</v>
      </c>
      <c r="B248" s="11" t="n">
        <v>360</v>
      </c>
      <c r="C248" s="12" t="n">
        <f aca="false">B248*'Correction factors'!$B$7</f>
        <v>1742.04</v>
      </c>
      <c r="D248" s="13" t="n">
        <v>2.257164</v>
      </c>
      <c r="E248" s="14" t="n">
        <v>312</v>
      </c>
      <c r="F248" s="10" t="n">
        <f aca="false">E248/'Correction factors'!$B$10</f>
        <v>25.1628</v>
      </c>
      <c r="G248" s="11" t="n">
        <v>434</v>
      </c>
    </row>
    <row r="249" customFormat="false" ht="15" hidden="false" customHeight="false" outlineLevel="0" collapsed="false">
      <c r="A249" s="10" t="n">
        <v>52.4114906787872</v>
      </c>
      <c r="B249" s="11" t="n">
        <v>360</v>
      </c>
      <c r="C249" s="12" t="n">
        <f aca="false">B249*'Correction factors'!$B$7</f>
        <v>1742.04</v>
      </c>
      <c r="D249" s="13" t="n">
        <v>2.257164</v>
      </c>
      <c r="E249" s="14" t="n">
        <v>312</v>
      </c>
      <c r="F249" s="10" t="n">
        <f aca="false">E249/'Correction factors'!$B$10</f>
        <v>25.1628</v>
      </c>
      <c r="G249" s="11" t="n">
        <v>434</v>
      </c>
    </row>
    <row r="250" customFormat="false" ht="15" hidden="false" customHeight="false" outlineLevel="0" collapsed="false">
      <c r="A250" s="10" t="n">
        <v>52.4114906787872</v>
      </c>
      <c r="B250" s="11" t="n">
        <v>360</v>
      </c>
      <c r="C250" s="12" t="n">
        <f aca="false">B250*'Correction factors'!$B$7</f>
        <v>1742.04</v>
      </c>
      <c r="D250" s="13" t="n">
        <v>2.237521</v>
      </c>
      <c r="E250" s="14" t="n">
        <v>312</v>
      </c>
      <c r="F250" s="10" t="n">
        <f aca="false">E250/'Correction factors'!$B$10</f>
        <v>25.1628</v>
      </c>
      <c r="G250" s="11" t="n">
        <v>434</v>
      </c>
    </row>
    <row r="251" customFormat="false" ht="15" hidden="false" customHeight="false" outlineLevel="0" collapsed="false">
      <c r="A251" s="10" t="n">
        <v>52.8487365245819</v>
      </c>
      <c r="B251" s="11" t="n">
        <v>360</v>
      </c>
      <c r="C251" s="12" t="n">
        <f aca="false">B251*'Correction factors'!$B$7</f>
        <v>1742.04</v>
      </c>
      <c r="D251" s="13" t="n">
        <v>2.227699</v>
      </c>
      <c r="E251" s="14" t="n">
        <v>312</v>
      </c>
      <c r="F251" s="10" t="n">
        <f aca="false">E251/'Correction factors'!$B$10</f>
        <v>25.1628</v>
      </c>
      <c r="G251" s="11" t="n">
        <v>435</v>
      </c>
    </row>
    <row r="252" customFormat="false" ht="15" hidden="false" customHeight="false" outlineLevel="0" collapsed="false">
      <c r="A252" s="10" t="n">
        <v>52.8487365245819</v>
      </c>
      <c r="B252" s="11" t="n">
        <v>340</v>
      </c>
      <c r="C252" s="12" t="n">
        <f aca="false">B252*'Correction factors'!$B$7</f>
        <v>1645.26</v>
      </c>
      <c r="D252" s="13" t="n">
        <v>2.217878</v>
      </c>
      <c r="E252" s="14" t="n">
        <v>312</v>
      </c>
      <c r="F252" s="10" t="n">
        <f aca="false">E252/'Correction factors'!$B$10</f>
        <v>25.1628</v>
      </c>
      <c r="G252" s="11" t="n">
        <v>435</v>
      </c>
    </row>
    <row r="253" customFormat="false" ht="15" hidden="false" customHeight="false" outlineLevel="0" collapsed="false">
      <c r="A253" s="10" t="n">
        <v>52.8487365245819</v>
      </c>
      <c r="B253" s="11" t="n">
        <v>340</v>
      </c>
      <c r="C253" s="12" t="n">
        <f aca="false">B253*'Correction factors'!$B$7</f>
        <v>1645.26</v>
      </c>
      <c r="D253" s="13" t="n">
        <v>2.208056</v>
      </c>
      <c r="E253" s="14" t="n">
        <v>304</v>
      </c>
      <c r="F253" s="10" t="n">
        <f aca="false">E253/'Correction factors'!$B$10</f>
        <v>24.5176</v>
      </c>
      <c r="G253" s="11" t="n">
        <v>436</v>
      </c>
    </row>
    <row r="254" customFormat="false" ht="15" hidden="false" customHeight="false" outlineLevel="0" collapsed="false">
      <c r="A254" s="10" t="n">
        <v>53.3547511100769</v>
      </c>
      <c r="B254" s="11" t="n">
        <v>360</v>
      </c>
      <c r="C254" s="12" t="n">
        <f aca="false">B254*'Correction factors'!$B$7</f>
        <v>1742.04</v>
      </c>
      <c r="D254" s="13" t="n">
        <v>2.198235</v>
      </c>
      <c r="E254" s="14" t="n">
        <v>312</v>
      </c>
      <c r="F254" s="10" t="n">
        <f aca="false">E254/'Correction factors'!$B$10</f>
        <v>25.1628</v>
      </c>
      <c r="G254" s="11" t="n">
        <v>437</v>
      </c>
    </row>
    <row r="255" customFormat="false" ht="15" hidden="false" customHeight="false" outlineLevel="0" collapsed="false">
      <c r="A255" s="10" t="n">
        <v>53.3547511100769</v>
      </c>
      <c r="B255" s="11" t="n">
        <v>340</v>
      </c>
      <c r="C255" s="12" t="n">
        <f aca="false">B255*'Correction factors'!$B$7</f>
        <v>1645.26</v>
      </c>
      <c r="D255" s="13" t="n">
        <v>2.188413</v>
      </c>
      <c r="E255" s="14" t="n">
        <v>312</v>
      </c>
      <c r="F255" s="10" t="n">
        <f aca="false">E255/'Correction factors'!$B$10</f>
        <v>25.1628</v>
      </c>
      <c r="G255" s="11" t="n">
        <v>437</v>
      </c>
    </row>
    <row r="256" customFormat="false" ht="15" hidden="false" customHeight="false" outlineLevel="0" collapsed="false">
      <c r="A256" s="10" t="n">
        <v>53.7942852973938</v>
      </c>
      <c r="B256" s="11" t="n">
        <v>340</v>
      </c>
      <c r="C256" s="12" t="n">
        <f aca="false">B256*'Correction factors'!$B$7</f>
        <v>1645.26</v>
      </c>
      <c r="D256" s="13" t="n">
        <v>2.16877</v>
      </c>
      <c r="E256" s="14" t="n">
        <v>312</v>
      </c>
      <c r="F256" s="10" t="n">
        <f aca="false">E256/'Correction factors'!$B$10</f>
        <v>25.1628</v>
      </c>
      <c r="G256" s="11" t="n">
        <v>440</v>
      </c>
    </row>
    <row r="257" customFormat="false" ht="15" hidden="false" customHeight="false" outlineLevel="0" collapsed="false">
      <c r="A257" s="10" t="n">
        <v>53.7942852973938</v>
      </c>
      <c r="B257" s="11" t="n">
        <v>360</v>
      </c>
      <c r="C257" s="12" t="n">
        <f aca="false">B257*'Correction factors'!$B$7</f>
        <v>1742.04</v>
      </c>
      <c r="D257" s="13" t="n">
        <v>2.16877</v>
      </c>
      <c r="E257" s="14" t="n">
        <v>320</v>
      </c>
      <c r="F257" s="10" t="n">
        <f aca="false">E257/'Correction factors'!$B$10</f>
        <v>25.808</v>
      </c>
      <c r="G257" s="11" t="n">
        <v>440</v>
      </c>
    </row>
    <row r="258" customFormat="false" ht="15" hidden="false" customHeight="false" outlineLevel="0" collapsed="false">
      <c r="A258" s="10" t="n">
        <v>54.2330701351166</v>
      </c>
      <c r="B258" s="11" t="n">
        <v>360</v>
      </c>
      <c r="C258" s="12" t="n">
        <f aca="false">B258*'Correction factors'!$B$7</f>
        <v>1742.04</v>
      </c>
      <c r="D258" s="13" t="n">
        <v>2.158948</v>
      </c>
      <c r="E258" s="14" t="n">
        <v>312</v>
      </c>
      <c r="F258" s="10" t="n">
        <f aca="false">E258/'Correction factors'!$B$10</f>
        <v>25.1628</v>
      </c>
      <c r="G258" s="11" t="n">
        <v>440</v>
      </c>
    </row>
    <row r="259" customFormat="false" ht="15" hidden="false" customHeight="false" outlineLevel="0" collapsed="false">
      <c r="A259" s="10" t="n">
        <v>54.2330701351166</v>
      </c>
      <c r="B259" s="11" t="n">
        <v>340</v>
      </c>
      <c r="C259" s="12" t="n">
        <f aca="false">B259*'Correction factors'!$B$7</f>
        <v>1645.26</v>
      </c>
      <c r="D259" s="13" t="n">
        <v>2.129483</v>
      </c>
      <c r="E259" s="14" t="n">
        <v>304</v>
      </c>
      <c r="F259" s="10" t="n">
        <f aca="false">E259/'Correction factors'!$B$10</f>
        <v>24.5176</v>
      </c>
      <c r="G259" s="11" t="n">
        <v>441</v>
      </c>
    </row>
    <row r="260" customFormat="false" ht="15" hidden="false" customHeight="false" outlineLevel="0" collapsed="false">
      <c r="A260" s="10" t="n">
        <v>54.6757624149323</v>
      </c>
      <c r="B260" s="11" t="n">
        <v>340</v>
      </c>
      <c r="C260" s="12" t="n">
        <f aca="false">B260*'Correction factors'!$B$7</f>
        <v>1645.26</v>
      </c>
      <c r="D260" s="13" t="n">
        <v>2.129483</v>
      </c>
      <c r="E260" s="14" t="n">
        <v>312</v>
      </c>
      <c r="F260" s="10" t="n">
        <f aca="false">E260/'Correction factors'!$B$10</f>
        <v>25.1628</v>
      </c>
      <c r="G260" s="11" t="n">
        <v>443</v>
      </c>
    </row>
    <row r="261" customFormat="false" ht="15" hidden="false" customHeight="false" outlineLevel="0" collapsed="false">
      <c r="A261" s="10" t="n">
        <v>54.6757624149323</v>
      </c>
      <c r="B261" s="11" t="n">
        <v>340</v>
      </c>
      <c r="C261" s="12" t="n">
        <f aca="false">B261*'Correction factors'!$B$7</f>
        <v>1645.26</v>
      </c>
      <c r="D261" s="13" t="n">
        <v>2.10984</v>
      </c>
      <c r="E261" s="14" t="n">
        <v>312</v>
      </c>
      <c r="F261" s="10" t="n">
        <f aca="false">E261/'Correction factors'!$B$10</f>
        <v>25.1628</v>
      </c>
      <c r="G261" s="11" t="n">
        <v>443</v>
      </c>
    </row>
    <row r="262" customFormat="false" ht="15" hidden="false" customHeight="false" outlineLevel="0" collapsed="false">
      <c r="A262" s="10" t="n">
        <v>55.1085941791534</v>
      </c>
      <c r="B262" s="11" t="n">
        <v>340</v>
      </c>
      <c r="C262" s="12" t="n">
        <f aca="false">B262*'Correction factors'!$B$7</f>
        <v>1645.26</v>
      </c>
      <c r="D262" s="13" t="n">
        <v>2.100019</v>
      </c>
      <c r="E262" s="14" t="n">
        <v>312</v>
      </c>
      <c r="F262" s="10" t="n">
        <f aca="false">E262/'Correction factors'!$B$10</f>
        <v>25.1628</v>
      </c>
      <c r="G262" s="11" t="n">
        <v>444</v>
      </c>
    </row>
    <row r="263" customFormat="false" ht="15" hidden="false" customHeight="false" outlineLevel="0" collapsed="false">
      <c r="A263" s="10" t="n">
        <v>55.1085941791534</v>
      </c>
      <c r="B263" s="11" t="n">
        <v>340</v>
      </c>
      <c r="C263" s="12" t="n">
        <f aca="false">B263*'Correction factors'!$B$7</f>
        <v>1645.26</v>
      </c>
      <c r="D263" s="13" t="n">
        <v>2.090197</v>
      </c>
      <c r="E263" s="14" t="n">
        <v>312</v>
      </c>
      <c r="F263" s="10" t="n">
        <f aca="false">E263/'Correction factors'!$B$10</f>
        <v>25.1628</v>
      </c>
      <c r="G263" s="11" t="n">
        <v>445</v>
      </c>
    </row>
    <row r="264" customFormat="false" ht="15" hidden="false" customHeight="false" outlineLevel="0" collapsed="false">
      <c r="A264" s="10" t="n">
        <v>55.5439097881317</v>
      </c>
      <c r="B264" s="11" t="n">
        <v>340</v>
      </c>
      <c r="C264" s="12" t="n">
        <f aca="false">B264*'Correction factors'!$B$7</f>
        <v>1645.26</v>
      </c>
      <c r="D264" s="13" t="n">
        <v>2.080375</v>
      </c>
      <c r="E264" s="14" t="n">
        <v>312</v>
      </c>
      <c r="F264" s="10" t="n">
        <f aca="false">E264/'Correction factors'!$B$10</f>
        <v>25.1628</v>
      </c>
      <c r="G264" s="11" t="n">
        <v>447</v>
      </c>
    </row>
    <row r="265" customFormat="false" ht="15" hidden="false" customHeight="false" outlineLevel="0" collapsed="false">
      <c r="A265" s="10" t="n">
        <v>55.5439097881317</v>
      </c>
      <c r="B265" s="11" t="n">
        <v>340</v>
      </c>
      <c r="C265" s="12" t="n">
        <f aca="false">B265*'Correction factors'!$B$7</f>
        <v>1645.26</v>
      </c>
      <c r="D265" s="13" t="n">
        <v>2.060732</v>
      </c>
      <c r="E265" s="14" t="n">
        <v>320</v>
      </c>
      <c r="F265" s="10" t="n">
        <f aca="false">E265/'Correction factors'!$B$10</f>
        <v>25.808</v>
      </c>
      <c r="G265" s="11" t="n">
        <v>448</v>
      </c>
    </row>
    <row r="266" customFormat="false" ht="15" hidden="false" customHeight="false" outlineLevel="0" collapsed="false">
      <c r="A266" s="10" t="n">
        <v>55.5439097881317</v>
      </c>
      <c r="B266" s="11" t="n">
        <v>320</v>
      </c>
      <c r="C266" s="12" t="n">
        <f aca="false">B266*'Correction factors'!$B$7</f>
        <v>1548.48</v>
      </c>
      <c r="D266" s="13" t="n">
        <v>2.060732</v>
      </c>
      <c r="E266" s="14" t="n">
        <v>320</v>
      </c>
      <c r="F266" s="10" t="n">
        <f aca="false">E266/'Correction factors'!$B$10</f>
        <v>25.808</v>
      </c>
      <c r="G266" s="11" t="n">
        <v>449</v>
      </c>
    </row>
    <row r="267" customFormat="false" ht="15" hidden="false" customHeight="false" outlineLevel="0" collapsed="false">
      <c r="A267" s="10" t="n">
        <v>56.0900094509125</v>
      </c>
      <c r="B267" s="11" t="n">
        <v>320</v>
      </c>
      <c r="C267" s="12" t="n">
        <f aca="false">B267*'Correction factors'!$B$7</f>
        <v>1548.48</v>
      </c>
      <c r="D267" s="13" t="n">
        <v>2.05091</v>
      </c>
      <c r="E267" s="14" t="n">
        <v>320</v>
      </c>
      <c r="F267" s="10" t="n">
        <f aca="false">E267/'Correction factors'!$B$10</f>
        <v>25.808</v>
      </c>
      <c r="G267" s="11" t="n">
        <v>449</v>
      </c>
    </row>
    <row r="268" customFormat="false" ht="15" hidden="false" customHeight="false" outlineLevel="0" collapsed="false">
      <c r="A268" s="10" t="n">
        <v>56.0900094509125</v>
      </c>
      <c r="B268" s="11" t="n">
        <v>320</v>
      </c>
      <c r="C268" s="12" t="n">
        <f aca="false">B268*'Correction factors'!$B$7</f>
        <v>1548.48</v>
      </c>
      <c r="D268" s="13" t="n">
        <v>2.041089</v>
      </c>
      <c r="E268" s="14" t="n">
        <v>320</v>
      </c>
      <c r="F268" s="10" t="n">
        <f aca="false">E268/'Correction factors'!$B$10</f>
        <v>25.808</v>
      </c>
      <c r="G268" s="11" t="n">
        <v>450</v>
      </c>
    </row>
    <row r="269" customFormat="false" ht="15" hidden="false" customHeight="false" outlineLevel="0" collapsed="false">
      <c r="A269" s="10" t="n">
        <v>56.5879280567169</v>
      </c>
      <c r="B269" s="11" t="n">
        <v>320</v>
      </c>
      <c r="C269" s="12" t="n">
        <f aca="false">B269*'Correction factors'!$B$7</f>
        <v>1548.48</v>
      </c>
      <c r="D269" s="13" t="n">
        <v>2.031268</v>
      </c>
      <c r="E269" s="14" t="n">
        <v>320</v>
      </c>
      <c r="F269" s="10" t="n">
        <f aca="false">E269/'Correction factors'!$B$10</f>
        <v>25.808</v>
      </c>
      <c r="G269" s="11" t="n">
        <v>455</v>
      </c>
    </row>
    <row r="270" customFormat="false" ht="15" hidden="false" customHeight="false" outlineLevel="0" collapsed="false">
      <c r="A270" s="10" t="n">
        <v>56.5879280567169</v>
      </c>
      <c r="B270" s="11" t="n">
        <v>340</v>
      </c>
      <c r="C270" s="12" t="n">
        <f aca="false">B270*'Correction factors'!$B$7</f>
        <v>1645.26</v>
      </c>
      <c r="D270" s="13" t="n">
        <v>2.011624</v>
      </c>
      <c r="E270" s="14" t="n">
        <v>328</v>
      </c>
      <c r="F270" s="10" t="n">
        <f aca="false">E270/'Correction factors'!$B$10</f>
        <v>26.4532</v>
      </c>
      <c r="G270" s="11" t="n">
        <v>455</v>
      </c>
    </row>
    <row r="271" customFormat="false" ht="15" hidden="false" customHeight="false" outlineLevel="0" collapsed="false">
      <c r="A271" s="10" t="n">
        <v>56.5879280567169</v>
      </c>
      <c r="B271" s="11" t="n">
        <v>340</v>
      </c>
      <c r="C271" s="12" t="n">
        <f aca="false">B271*'Correction factors'!$B$7</f>
        <v>1645.26</v>
      </c>
      <c r="D271" s="13" t="n">
        <v>2.001803</v>
      </c>
      <c r="E271" s="14" t="n">
        <v>328</v>
      </c>
      <c r="F271" s="10" t="n">
        <f aca="false">E271/'Correction factors'!$B$10</f>
        <v>26.4532</v>
      </c>
      <c r="G271" s="11" t="n">
        <v>455</v>
      </c>
    </row>
    <row r="272" customFormat="false" ht="15" hidden="false" customHeight="false" outlineLevel="0" collapsed="false">
      <c r="A272" s="10" t="n">
        <v>57.1018362045288</v>
      </c>
      <c r="B272" s="11" t="n">
        <v>320</v>
      </c>
      <c r="C272" s="12" t="n">
        <f aca="false">B272*'Correction factors'!$B$7</f>
        <v>1548.48</v>
      </c>
      <c r="D272" s="13" t="n">
        <v>1.991981</v>
      </c>
      <c r="E272" s="14" t="n">
        <v>328</v>
      </c>
      <c r="F272" s="10" t="n">
        <f aca="false">E272/'Correction factors'!$B$10</f>
        <v>26.4532</v>
      </c>
      <c r="G272" s="11" t="n">
        <v>455</v>
      </c>
    </row>
    <row r="273" customFormat="false" ht="15" hidden="false" customHeight="false" outlineLevel="0" collapsed="false">
      <c r="A273" s="10" t="n">
        <v>57.1018362045288</v>
      </c>
      <c r="B273" s="11" t="n">
        <v>320</v>
      </c>
      <c r="C273" s="12" t="n">
        <f aca="false">B273*'Correction factors'!$B$7</f>
        <v>1548.48</v>
      </c>
      <c r="D273" s="13" t="n">
        <v>1.98216</v>
      </c>
      <c r="E273" s="14" t="n">
        <v>320</v>
      </c>
      <c r="F273" s="10" t="n">
        <f aca="false">E273/'Correction factors'!$B$10</f>
        <v>25.808</v>
      </c>
      <c r="G273" s="11" t="n">
        <v>456</v>
      </c>
    </row>
    <row r="274" customFormat="false" ht="15" hidden="false" customHeight="false" outlineLevel="0" collapsed="false">
      <c r="A274" s="10" t="n">
        <v>57.5528523921967</v>
      </c>
      <c r="B274" s="11" t="n">
        <v>320</v>
      </c>
      <c r="C274" s="12" t="n">
        <f aca="false">B274*'Correction factors'!$B$7</f>
        <v>1548.48</v>
      </c>
      <c r="D274" s="13" t="n">
        <v>1.962516</v>
      </c>
      <c r="E274" s="14" t="n">
        <v>328</v>
      </c>
      <c r="F274" s="10" t="n">
        <f aca="false">E274/'Correction factors'!$B$10</f>
        <v>26.4532</v>
      </c>
      <c r="G274" s="11" t="n">
        <v>460</v>
      </c>
    </row>
    <row r="275" customFormat="false" ht="15" hidden="false" customHeight="false" outlineLevel="0" collapsed="false">
      <c r="A275" s="10" t="n">
        <v>57.5528523921967</v>
      </c>
      <c r="B275" s="11" t="n">
        <v>340</v>
      </c>
      <c r="C275" s="12" t="n">
        <f aca="false">B275*'Correction factors'!$B$7</f>
        <v>1645.26</v>
      </c>
      <c r="D275" s="13" t="n">
        <v>1.952695</v>
      </c>
      <c r="E275" s="14" t="n">
        <v>336</v>
      </c>
      <c r="F275" s="10" t="n">
        <f aca="false">E275/'Correction factors'!$B$10</f>
        <v>27.0984</v>
      </c>
      <c r="G275" s="11" t="n">
        <v>459</v>
      </c>
    </row>
    <row r="276" customFormat="false" ht="15" hidden="false" customHeight="false" outlineLevel="0" collapsed="false">
      <c r="A276" s="10" t="n">
        <v>57.9948358535767</v>
      </c>
      <c r="B276" s="11" t="n">
        <v>340</v>
      </c>
      <c r="C276" s="12" t="n">
        <f aca="false">B276*'Correction factors'!$B$7</f>
        <v>1645.26</v>
      </c>
      <c r="D276" s="13" t="n">
        <v>1.942873</v>
      </c>
      <c r="E276" s="14" t="n">
        <v>328</v>
      </c>
      <c r="F276" s="10" t="n">
        <f aca="false">E276/'Correction factors'!$B$10</f>
        <v>26.4532</v>
      </c>
      <c r="G276" s="11" t="n">
        <v>460</v>
      </c>
    </row>
    <row r="277" customFormat="false" ht="15" hidden="false" customHeight="false" outlineLevel="0" collapsed="false">
      <c r="A277" s="10" t="n">
        <v>57.9948358535767</v>
      </c>
      <c r="B277" s="11" t="n">
        <v>340</v>
      </c>
      <c r="C277" s="12" t="n">
        <f aca="false">B277*'Correction factors'!$B$7</f>
        <v>1645.26</v>
      </c>
      <c r="D277" s="13" t="n">
        <v>1.933052</v>
      </c>
      <c r="E277" s="14" t="n">
        <v>328</v>
      </c>
      <c r="F277" s="10" t="n">
        <f aca="false">E277/'Correction factors'!$B$10</f>
        <v>26.4532</v>
      </c>
      <c r="G277" s="11" t="n">
        <v>460</v>
      </c>
    </row>
    <row r="278" customFormat="false" ht="15" hidden="false" customHeight="false" outlineLevel="0" collapsed="false">
      <c r="A278" s="10" t="n">
        <v>58.4687197208405</v>
      </c>
      <c r="B278" s="11" t="n">
        <v>320</v>
      </c>
      <c r="C278" s="12" t="n">
        <f aca="false">B278*'Correction factors'!$B$7</f>
        <v>1548.48</v>
      </c>
      <c r="D278" s="13" t="n">
        <v>1.933052</v>
      </c>
      <c r="E278" s="14" t="n">
        <v>328</v>
      </c>
      <c r="F278" s="10" t="n">
        <f aca="false">E278/'Correction factors'!$B$10</f>
        <v>26.4532</v>
      </c>
      <c r="G278" s="11" t="n">
        <v>462</v>
      </c>
    </row>
    <row r="279" customFormat="false" ht="15" hidden="false" customHeight="false" outlineLevel="0" collapsed="false">
      <c r="A279" s="10" t="n">
        <v>58.4687197208405</v>
      </c>
      <c r="B279" s="11" t="n">
        <v>340</v>
      </c>
      <c r="C279" s="12" t="n">
        <f aca="false">B279*'Correction factors'!$B$7</f>
        <v>1645.26</v>
      </c>
      <c r="D279" s="13" t="n">
        <v>1.92323</v>
      </c>
      <c r="E279" s="14" t="n">
        <v>328</v>
      </c>
      <c r="F279" s="10" t="n">
        <f aca="false">E279/'Correction factors'!$B$10</f>
        <v>26.4532</v>
      </c>
      <c r="G279" s="11" t="n">
        <v>463</v>
      </c>
    </row>
    <row r="280" customFormat="false" ht="15" hidden="false" customHeight="false" outlineLevel="0" collapsed="false">
      <c r="A280" s="10" t="n">
        <v>58.4687197208405</v>
      </c>
      <c r="B280" s="11" t="n">
        <v>320</v>
      </c>
      <c r="C280" s="12" t="n">
        <f aca="false">B280*'Correction factors'!$B$7</f>
        <v>1548.48</v>
      </c>
      <c r="D280" s="13" t="n">
        <v>1.913408</v>
      </c>
      <c r="E280" s="14" t="n">
        <v>320</v>
      </c>
      <c r="F280" s="10" t="n">
        <f aca="false">E280/'Correction factors'!$B$10</f>
        <v>25.808</v>
      </c>
      <c r="G280" s="11" t="n">
        <v>464</v>
      </c>
    </row>
    <row r="281" customFormat="false" ht="15" hidden="false" customHeight="false" outlineLevel="0" collapsed="false">
      <c r="A281" s="10" t="n">
        <v>58.9648056030273</v>
      </c>
      <c r="B281" s="11" t="n">
        <v>320</v>
      </c>
      <c r="C281" s="12" t="n">
        <f aca="false">B281*'Correction factors'!$B$7</f>
        <v>1548.48</v>
      </c>
      <c r="D281" s="13" t="n">
        <v>1.893765</v>
      </c>
      <c r="E281" s="14" t="n">
        <v>336</v>
      </c>
      <c r="F281" s="10" t="n">
        <f aca="false">E281/'Correction factors'!$B$10</f>
        <v>27.0984</v>
      </c>
      <c r="G281" s="11" t="n">
        <v>466</v>
      </c>
    </row>
    <row r="282" customFormat="false" ht="15" hidden="false" customHeight="false" outlineLevel="0" collapsed="false">
      <c r="A282" s="10" t="n">
        <v>58.9648056030273</v>
      </c>
      <c r="B282" s="11" t="n">
        <v>340</v>
      </c>
      <c r="C282" s="12" t="n">
        <f aca="false">B282*'Correction factors'!$B$7</f>
        <v>1645.26</v>
      </c>
      <c r="D282" s="13" t="n">
        <v>1.883944</v>
      </c>
      <c r="E282" s="14" t="n">
        <v>336</v>
      </c>
      <c r="F282" s="10" t="n">
        <f aca="false">E282/'Correction factors'!$B$10</f>
        <v>27.0984</v>
      </c>
      <c r="G282" s="11" t="n">
        <v>467</v>
      </c>
    </row>
    <row r="283" customFormat="false" ht="15" hidden="false" customHeight="false" outlineLevel="0" collapsed="false">
      <c r="A283" s="10" t="n">
        <v>59.4039378166199</v>
      </c>
      <c r="B283" s="11" t="n">
        <v>320</v>
      </c>
      <c r="C283" s="12" t="n">
        <f aca="false">B283*'Correction factors'!$B$7</f>
        <v>1548.48</v>
      </c>
      <c r="D283" s="13" t="n">
        <v>1.8643</v>
      </c>
      <c r="E283" s="14" t="n">
        <v>336</v>
      </c>
      <c r="F283" s="10" t="n">
        <f aca="false">E283/'Correction factors'!$B$10</f>
        <v>27.0984</v>
      </c>
      <c r="G283" s="11" t="n">
        <v>467</v>
      </c>
    </row>
    <row r="284" customFormat="false" ht="15" hidden="false" customHeight="false" outlineLevel="0" collapsed="false">
      <c r="A284" s="10" t="n">
        <v>59.4039378166199</v>
      </c>
      <c r="B284" s="11" t="n">
        <v>320</v>
      </c>
      <c r="C284" s="12" t="n">
        <f aca="false">B284*'Correction factors'!$B$7</f>
        <v>1548.48</v>
      </c>
      <c r="D284" s="13" t="n">
        <v>1.874122</v>
      </c>
      <c r="E284" s="14" t="n">
        <v>336</v>
      </c>
      <c r="F284" s="10" t="n">
        <f aca="false">E284/'Correction factors'!$B$10</f>
        <v>27.0984</v>
      </c>
      <c r="G284" s="11" t="n">
        <v>468</v>
      </c>
    </row>
    <row r="285" customFormat="false" ht="15" hidden="false" customHeight="false" outlineLevel="0" collapsed="false">
      <c r="A285" s="10" t="n">
        <v>59.8445644378662</v>
      </c>
      <c r="B285" s="11" t="n">
        <v>320</v>
      </c>
      <c r="C285" s="12" t="n">
        <f aca="false">B285*'Correction factors'!$B$7</f>
        <v>1548.48</v>
      </c>
      <c r="D285" s="13" t="n">
        <v>1.854479</v>
      </c>
      <c r="E285" s="14" t="n">
        <v>328</v>
      </c>
      <c r="F285" s="10" t="n">
        <f aca="false">E285/'Correction factors'!$B$10</f>
        <v>26.4532</v>
      </c>
      <c r="G285" s="11" t="n">
        <v>473</v>
      </c>
    </row>
    <row r="286" customFormat="false" ht="15" hidden="false" customHeight="false" outlineLevel="0" collapsed="false">
      <c r="A286" s="10" t="n">
        <v>59.8445644378662</v>
      </c>
      <c r="B286" s="11" t="n">
        <v>340</v>
      </c>
      <c r="C286" s="12" t="n">
        <f aca="false">B286*'Correction factors'!$B$7</f>
        <v>1645.26</v>
      </c>
      <c r="D286" s="13" t="n">
        <v>1.854479</v>
      </c>
      <c r="E286" s="14" t="n">
        <v>344</v>
      </c>
      <c r="F286" s="10" t="n">
        <f aca="false">E286/'Correction factors'!$B$10</f>
        <v>27.7436</v>
      </c>
      <c r="G286" s="11" t="n">
        <v>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5"/>
    <col collapsed="false" customWidth="true" hidden="false" outlineLevel="0" max="6" min="5" style="0" width="20"/>
    <col collapsed="false" customWidth="true" hidden="false" outlineLevel="0" max="7" min="7" style="0" width="15"/>
  </cols>
  <sheetData>
    <row r="1" customFormat="false" ht="30" hidden="false" customHeight="tru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</row>
    <row r="2" customFormat="false" ht="15" hidden="false" customHeight="false" outlineLevel="0" collapsed="false">
      <c r="A2" s="10" t="n">
        <v>0.289640665054321</v>
      </c>
      <c r="B2" s="11" t="n">
        <v>0</v>
      </c>
      <c r="C2" s="12" t="n">
        <f aca="false">B2*'Correction factors'!$B$7</f>
        <v>0</v>
      </c>
      <c r="D2" s="13" t="n">
        <v>1.068751</v>
      </c>
      <c r="E2" s="14" t="n">
        <v>0</v>
      </c>
      <c r="F2" s="10" t="n">
        <f aca="false">E2/'Correction factors'!$B$10</f>
        <v>0</v>
      </c>
      <c r="G2" s="11" t="n">
        <v>510</v>
      </c>
    </row>
    <row r="3" customFormat="false" ht="15" hidden="false" customHeight="false" outlineLevel="0" collapsed="false">
      <c r="A3" s="10" t="n">
        <v>0.289640665054321</v>
      </c>
      <c r="B3" s="11" t="n">
        <v>0</v>
      </c>
      <c r="C3" s="12" t="n">
        <f aca="false">B3*'Correction factors'!$B$7</f>
        <v>0</v>
      </c>
      <c r="D3" s="13" t="n">
        <v>1.068751</v>
      </c>
      <c r="E3" s="14" t="n">
        <v>0</v>
      </c>
      <c r="F3" s="10" t="n">
        <f aca="false">E3/'Correction factors'!$B$10</f>
        <v>0</v>
      </c>
      <c r="G3" s="11" t="n">
        <v>510</v>
      </c>
    </row>
    <row r="4" customFormat="false" ht="15" hidden="false" customHeight="false" outlineLevel="0" collapsed="false">
      <c r="A4" s="10" t="n">
        <v>1.40196943283081</v>
      </c>
      <c r="B4" s="11" t="n">
        <v>0</v>
      </c>
      <c r="C4" s="12" t="n">
        <f aca="false">B4*'Correction factors'!$B$7</f>
        <v>0</v>
      </c>
      <c r="D4" s="13" t="n">
        <v>1.068751</v>
      </c>
      <c r="E4" s="14" t="n">
        <v>0</v>
      </c>
      <c r="F4" s="10" t="n">
        <f aca="false">E4/'Correction factors'!$B$10</f>
        <v>0</v>
      </c>
      <c r="G4" s="11" t="n">
        <v>510</v>
      </c>
    </row>
    <row r="5" customFormat="false" ht="15" hidden="false" customHeight="false" outlineLevel="0" collapsed="false">
      <c r="A5" s="10" t="n">
        <v>1.83920121192932</v>
      </c>
      <c r="B5" s="11" t="n">
        <v>0</v>
      </c>
      <c r="C5" s="12" t="n">
        <f aca="false">B5*'Correction factors'!$B$7</f>
        <v>0</v>
      </c>
      <c r="D5" s="13" t="n">
        <v>1.05893</v>
      </c>
      <c r="E5" s="14" t="n">
        <v>0</v>
      </c>
      <c r="F5" s="10" t="n">
        <f aca="false">E5/'Correction factors'!$B$10</f>
        <v>0</v>
      </c>
      <c r="G5" s="11" t="n">
        <v>510</v>
      </c>
    </row>
    <row r="6" customFormat="false" ht="15" hidden="false" customHeight="false" outlineLevel="0" collapsed="false">
      <c r="A6" s="10" t="n">
        <v>1.83920121192932</v>
      </c>
      <c r="B6" s="11" t="n">
        <v>0</v>
      </c>
      <c r="C6" s="12" t="n">
        <f aca="false">B6*'Correction factors'!$B$7</f>
        <v>0</v>
      </c>
      <c r="D6" s="13" t="n">
        <v>1.068751</v>
      </c>
      <c r="E6" s="14" t="n">
        <v>0</v>
      </c>
      <c r="F6" s="10" t="n">
        <f aca="false">E6/'Correction factors'!$B$10</f>
        <v>0</v>
      </c>
      <c r="G6" s="11" t="n">
        <v>510</v>
      </c>
    </row>
    <row r="7" customFormat="false" ht="15" hidden="false" customHeight="false" outlineLevel="0" collapsed="false">
      <c r="A7" s="10" t="n">
        <v>2.35516571998596</v>
      </c>
      <c r="B7" s="11" t="n">
        <v>0</v>
      </c>
      <c r="C7" s="12" t="n">
        <f aca="false">B7*'Correction factors'!$B$7</f>
        <v>0</v>
      </c>
      <c r="D7" s="13" t="n">
        <v>1.049108</v>
      </c>
      <c r="E7" s="14" t="n">
        <v>0</v>
      </c>
      <c r="F7" s="10" t="n">
        <f aca="false">E7/'Correction factors'!$B$10</f>
        <v>0</v>
      </c>
      <c r="G7" s="11" t="n">
        <v>510</v>
      </c>
    </row>
    <row r="8" customFormat="false" ht="15" hidden="false" customHeight="false" outlineLevel="0" collapsed="false">
      <c r="A8" s="10" t="n">
        <v>2.35516571998596</v>
      </c>
      <c r="B8" s="11" t="n">
        <v>0</v>
      </c>
      <c r="C8" s="12" t="n">
        <f aca="false">B8*'Correction factors'!$B$7</f>
        <v>0</v>
      </c>
      <c r="D8" s="13" t="n">
        <v>1.05893</v>
      </c>
      <c r="E8" s="14" t="n">
        <v>0</v>
      </c>
      <c r="F8" s="10" t="n">
        <f aca="false">E8/'Correction factors'!$B$10</f>
        <v>0</v>
      </c>
      <c r="G8" s="11" t="n">
        <v>510</v>
      </c>
    </row>
    <row r="9" customFormat="false" ht="15" hidden="false" customHeight="false" outlineLevel="0" collapsed="false">
      <c r="A9" s="10" t="n">
        <v>2.35516571998596</v>
      </c>
      <c r="B9" s="11" t="n">
        <v>0</v>
      </c>
      <c r="C9" s="12" t="n">
        <f aca="false">B9*'Correction factors'!$B$7</f>
        <v>0</v>
      </c>
      <c r="D9" s="13" t="n">
        <v>1.05893</v>
      </c>
      <c r="E9" s="14" t="n">
        <v>0</v>
      </c>
      <c r="F9" s="10" t="n">
        <f aca="false">E9/'Correction factors'!$B$10</f>
        <v>0</v>
      </c>
      <c r="G9" s="11" t="n">
        <v>510</v>
      </c>
    </row>
    <row r="10" customFormat="false" ht="15" hidden="false" customHeight="false" outlineLevel="0" collapsed="false">
      <c r="A10" s="10" t="n">
        <v>2.82017087936401</v>
      </c>
      <c r="B10" s="11" t="n">
        <v>0</v>
      </c>
      <c r="C10" s="12" t="n">
        <f aca="false">B10*'Correction factors'!$B$7</f>
        <v>0</v>
      </c>
      <c r="D10" s="13" t="n">
        <v>1.05893</v>
      </c>
      <c r="E10" s="14" t="n">
        <v>0</v>
      </c>
      <c r="F10" s="10" t="n">
        <f aca="false">E10/'Correction factors'!$B$10</f>
        <v>0</v>
      </c>
      <c r="G10" s="11" t="n">
        <v>510</v>
      </c>
    </row>
    <row r="11" customFormat="false" ht="15" hidden="false" customHeight="false" outlineLevel="0" collapsed="false">
      <c r="A11" s="10" t="n">
        <v>2.82017087936401</v>
      </c>
      <c r="B11" s="11" t="n">
        <v>0</v>
      </c>
      <c r="C11" s="12" t="n">
        <f aca="false">B11*'Correction factors'!$B$7</f>
        <v>0</v>
      </c>
      <c r="D11" s="13" t="n">
        <v>1.05893</v>
      </c>
      <c r="E11" s="14" t="n">
        <v>0</v>
      </c>
      <c r="F11" s="10" t="n">
        <f aca="false">E11/'Correction factors'!$B$10</f>
        <v>0</v>
      </c>
      <c r="G11" s="11" t="n">
        <v>510</v>
      </c>
    </row>
    <row r="12" customFormat="false" ht="15" hidden="false" customHeight="false" outlineLevel="0" collapsed="false">
      <c r="A12" s="10" t="n">
        <v>3.26852250099182</v>
      </c>
      <c r="B12" s="11" t="n">
        <v>0</v>
      </c>
      <c r="C12" s="12" t="n">
        <f aca="false">B12*'Correction factors'!$B$7</f>
        <v>0</v>
      </c>
      <c r="D12" s="13" t="n">
        <v>1.05893</v>
      </c>
      <c r="E12" s="14" t="n">
        <v>0</v>
      </c>
      <c r="F12" s="10" t="n">
        <f aca="false">E12/'Correction factors'!$B$10</f>
        <v>0</v>
      </c>
      <c r="G12" s="11" t="n">
        <v>509</v>
      </c>
    </row>
    <row r="13" customFormat="false" ht="15" hidden="false" customHeight="false" outlineLevel="0" collapsed="false">
      <c r="A13" s="10" t="n">
        <v>3.26852250099182</v>
      </c>
      <c r="B13" s="11" t="n">
        <v>0</v>
      </c>
      <c r="C13" s="12" t="n">
        <f aca="false">B13*'Correction factors'!$B$7</f>
        <v>0</v>
      </c>
      <c r="D13" s="13" t="n">
        <v>1.05893</v>
      </c>
      <c r="E13" s="14" t="n">
        <v>0</v>
      </c>
      <c r="F13" s="10" t="n">
        <f aca="false">E13/'Correction factors'!$B$10</f>
        <v>0</v>
      </c>
      <c r="G13" s="11" t="n">
        <v>510</v>
      </c>
    </row>
    <row r="14" customFormat="false" ht="15" hidden="false" customHeight="false" outlineLevel="0" collapsed="false">
      <c r="A14" s="10" t="n">
        <v>3.73466658592224</v>
      </c>
      <c r="B14" s="11" t="n">
        <v>0</v>
      </c>
      <c r="C14" s="12" t="n">
        <f aca="false">B14*'Correction factors'!$B$7</f>
        <v>0</v>
      </c>
      <c r="D14" s="13" t="n">
        <v>1.049108</v>
      </c>
      <c r="E14" s="14" t="n">
        <v>0</v>
      </c>
      <c r="F14" s="10" t="n">
        <f aca="false">E14/'Correction factors'!$B$10</f>
        <v>0</v>
      </c>
      <c r="G14" s="11" t="n">
        <v>510</v>
      </c>
    </row>
    <row r="15" customFormat="false" ht="15" hidden="false" customHeight="false" outlineLevel="0" collapsed="false">
      <c r="A15" s="10" t="n">
        <v>3.73466658592224</v>
      </c>
      <c r="B15" s="11" t="n">
        <v>0</v>
      </c>
      <c r="C15" s="12" t="n">
        <f aca="false">B15*'Correction factors'!$B$7</f>
        <v>0</v>
      </c>
      <c r="D15" s="13" t="n">
        <v>1.05893</v>
      </c>
      <c r="E15" s="14" t="n">
        <v>0</v>
      </c>
      <c r="F15" s="10" t="n">
        <f aca="false">E15/'Correction factors'!$B$10</f>
        <v>0</v>
      </c>
      <c r="G15" s="11" t="n">
        <v>510</v>
      </c>
    </row>
    <row r="16" customFormat="false" ht="15" hidden="false" customHeight="false" outlineLevel="0" collapsed="false">
      <c r="A16" s="10" t="n">
        <v>4.21021127700806</v>
      </c>
      <c r="B16" s="11" t="n">
        <v>0</v>
      </c>
      <c r="C16" s="12" t="n">
        <f aca="false">B16*'Correction factors'!$B$7</f>
        <v>0</v>
      </c>
      <c r="D16" s="13" t="n">
        <v>1.05893</v>
      </c>
      <c r="E16" s="14" t="n">
        <v>0</v>
      </c>
      <c r="F16" s="10" t="n">
        <f aca="false">E16/'Correction factors'!$B$10</f>
        <v>0</v>
      </c>
      <c r="G16" s="11" t="n">
        <v>510</v>
      </c>
    </row>
    <row r="17" customFormat="false" ht="15" hidden="false" customHeight="false" outlineLevel="0" collapsed="false">
      <c r="A17" s="10" t="n">
        <v>4.21021127700806</v>
      </c>
      <c r="B17" s="11" t="n">
        <v>0</v>
      </c>
      <c r="C17" s="12" t="n">
        <f aca="false">B17*'Correction factors'!$B$7</f>
        <v>0</v>
      </c>
      <c r="D17" s="13" t="n">
        <v>1.05893</v>
      </c>
      <c r="E17" s="14" t="n">
        <v>0</v>
      </c>
      <c r="F17" s="10" t="n">
        <f aca="false">E17/'Correction factors'!$B$10</f>
        <v>0</v>
      </c>
      <c r="G17" s="11" t="n">
        <v>510</v>
      </c>
    </row>
    <row r="18" customFormat="false" ht="15" hidden="false" customHeight="false" outlineLevel="0" collapsed="false">
      <c r="A18" s="10" t="n">
        <v>4.21021127700806</v>
      </c>
      <c r="B18" s="11" t="n">
        <v>0</v>
      </c>
      <c r="C18" s="12" t="n">
        <f aca="false">B18*'Correction factors'!$B$7</f>
        <v>0</v>
      </c>
      <c r="D18" s="13" t="n">
        <v>1.05893</v>
      </c>
      <c r="E18" s="14" t="n">
        <v>0</v>
      </c>
      <c r="F18" s="10" t="n">
        <f aca="false">E18/'Correction factors'!$B$10</f>
        <v>0</v>
      </c>
      <c r="G18" s="11" t="n">
        <v>510</v>
      </c>
    </row>
    <row r="19" customFormat="false" ht="15" hidden="false" customHeight="false" outlineLevel="0" collapsed="false">
      <c r="A19" s="10" t="n">
        <v>4.69714283943176</v>
      </c>
      <c r="B19" s="11" t="n">
        <v>0</v>
      </c>
      <c r="C19" s="12" t="n">
        <f aca="false">B19*'Correction factors'!$B$7</f>
        <v>0</v>
      </c>
      <c r="D19" s="13" t="n">
        <v>1.05893</v>
      </c>
      <c r="E19" s="14" t="n">
        <v>0</v>
      </c>
      <c r="F19" s="10" t="n">
        <f aca="false">E19/'Correction factors'!$B$10</f>
        <v>0</v>
      </c>
      <c r="G19" s="11" t="n">
        <v>510</v>
      </c>
    </row>
    <row r="20" customFormat="false" ht="15" hidden="false" customHeight="false" outlineLevel="0" collapsed="false">
      <c r="A20" s="10" t="n">
        <v>4.69714283943176</v>
      </c>
      <c r="B20" s="11" t="n">
        <v>0</v>
      </c>
      <c r="C20" s="12" t="n">
        <f aca="false">B20*'Correction factors'!$B$7</f>
        <v>0</v>
      </c>
      <c r="D20" s="13" t="n">
        <v>1.05893</v>
      </c>
      <c r="E20" s="14" t="n">
        <v>0</v>
      </c>
      <c r="F20" s="10" t="n">
        <f aca="false">E20/'Correction factors'!$B$10</f>
        <v>0</v>
      </c>
      <c r="G20" s="11" t="n">
        <v>510</v>
      </c>
    </row>
    <row r="21" customFormat="false" ht="15" hidden="false" customHeight="false" outlineLevel="0" collapsed="false">
      <c r="A21" s="10" t="n">
        <v>5.12813401222229</v>
      </c>
      <c r="B21" s="11" t="n">
        <v>0</v>
      </c>
      <c r="C21" s="12" t="n">
        <f aca="false">B21*'Correction factors'!$B$7</f>
        <v>0</v>
      </c>
      <c r="D21" s="13" t="n">
        <v>1.05893</v>
      </c>
      <c r="E21" s="14" t="n">
        <v>0</v>
      </c>
      <c r="F21" s="10" t="n">
        <f aca="false">E21/'Correction factors'!$B$10</f>
        <v>0</v>
      </c>
      <c r="G21" s="11" t="n">
        <v>510</v>
      </c>
    </row>
    <row r="22" customFormat="false" ht="15" hidden="false" customHeight="false" outlineLevel="0" collapsed="false">
      <c r="A22" s="10" t="n">
        <v>5.12813401222229</v>
      </c>
      <c r="B22" s="11" t="n">
        <v>0</v>
      </c>
      <c r="C22" s="12" t="n">
        <f aca="false">B22*'Correction factors'!$B$7</f>
        <v>0</v>
      </c>
      <c r="D22" s="13" t="n">
        <v>1.05893</v>
      </c>
      <c r="E22" s="14" t="n">
        <v>0</v>
      </c>
      <c r="F22" s="10" t="n">
        <f aca="false">E22/'Correction factors'!$B$10</f>
        <v>0</v>
      </c>
      <c r="G22" s="11" t="n">
        <v>510</v>
      </c>
    </row>
    <row r="23" customFormat="false" ht="15" hidden="false" customHeight="false" outlineLevel="0" collapsed="false">
      <c r="A23" s="10" t="n">
        <v>5.59595537185669</v>
      </c>
      <c r="B23" s="11" t="n">
        <v>0</v>
      </c>
      <c r="C23" s="12" t="n">
        <f aca="false">B23*'Correction factors'!$B$7</f>
        <v>0</v>
      </c>
      <c r="D23" s="13" t="n">
        <v>1.05893</v>
      </c>
      <c r="E23" s="14" t="n">
        <v>0</v>
      </c>
      <c r="F23" s="10" t="n">
        <f aca="false">E23/'Correction factors'!$B$10</f>
        <v>0</v>
      </c>
      <c r="G23" s="11" t="n">
        <v>510</v>
      </c>
    </row>
    <row r="24" customFormat="false" ht="15" hidden="false" customHeight="false" outlineLevel="0" collapsed="false">
      <c r="A24" s="10" t="n">
        <v>5.59595537185669</v>
      </c>
      <c r="B24" s="11" t="n">
        <v>0</v>
      </c>
      <c r="C24" s="12" t="n">
        <f aca="false">B24*'Correction factors'!$B$7</f>
        <v>0</v>
      </c>
      <c r="D24" s="13" t="n">
        <v>1.05893</v>
      </c>
      <c r="E24" s="14" t="n">
        <v>0</v>
      </c>
      <c r="F24" s="10" t="n">
        <f aca="false">E24/'Correction factors'!$B$10</f>
        <v>0</v>
      </c>
      <c r="G24" s="11" t="n">
        <v>510</v>
      </c>
    </row>
    <row r="25" customFormat="false" ht="15" hidden="false" customHeight="false" outlineLevel="0" collapsed="false">
      <c r="A25" s="10" t="n">
        <v>5.59595537185669</v>
      </c>
      <c r="B25" s="11" t="n">
        <v>0</v>
      </c>
      <c r="C25" s="12" t="n">
        <f aca="false">B25*'Correction factors'!$B$7</f>
        <v>0</v>
      </c>
      <c r="D25" s="13" t="n">
        <v>1.05893</v>
      </c>
      <c r="E25" s="14" t="n">
        <v>0</v>
      </c>
      <c r="F25" s="10" t="n">
        <f aca="false">E25/'Correction factors'!$B$10</f>
        <v>0</v>
      </c>
      <c r="G25" s="11" t="n">
        <v>510</v>
      </c>
    </row>
    <row r="26" customFormat="false" ht="15" hidden="false" customHeight="false" outlineLevel="0" collapsed="false">
      <c r="A26" s="10" t="n">
        <v>6.08884429931641</v>
      </c>
      <c r="B26" s="11" t="n">
        <v>0</v>
      </c>
      <c r="C26" s="12" t="n">
        <f aca="false">B26*'Correction factors'!$B$7</f>
        <v>0</v>
      </c>
      <c r="D26" s="13" t="n">
        <v>1.05893</v>
      </c>
      <c r="E26" s="14" t="n">
        <v>0</v>
      </c>
      <c r="F26" s="10" t="n">
        <f aca="false">E26/'Correction factors'!$B$10</f>
        <v>0</v>
      </c>
      <c r="G26" s="11" t="n">
        <v>510</v>
      </c>
    </row>
    <row r="27" customFormat="false" ht="15" hidden="false" customHeight="false" outlineLevel="0" collapsed="false">
      <c r="A27" s="10" t="n">
        <v>6.08884429931641</v>
      </c>
      <c r="B27" s="11" t="n">
        <v>0</v>
      </c>
      <c r="C27" s="12" t="n">
        <f aca="false">B27*'Correction factors'!$B$7</f>
        <v>0</v>
      </c>
      <c r="D27" s="13" t="n">
        <v>1.05893</v>
      </c>
      <c r="E27" s="14" t="n">
        <v>0</v>
      </c>
      <c r="F27" s="10" t="n">
        <f aca="false">E27/'Correction factors'!$B$10</f>
        <v>0</v>
      </c>
      <c r="G27" s="11" t="n">
        <v>510</v>
      </c>
    </row>
    <row r="28" customFormat="false" ht="15" hidden="false" customHeight="false" outlineLevel="0" collapsed="false">
      <c r="A28" s="10" t="n">
        <v>6.52865052223206</v>
      </c>
      <c r="B28" s="11" t="n">
        <v>0</v>
      </c>
      <c r="C28" s="12" t="n">
        <f aca="false">B28*'Correction factors'!$B$7</f>
        <v>0</v>
      </c>
      <c r="D28" s="13" t="n">
        <v>1.049108</v>
      </c>
      <c r="E28" s="14" t="n">
        <v>0</v>
      </c>
      <c r="F28" s="10" t="n">
        <f aca="false">E28/'Correction factors'!$B$10</f>
        <v>0</v>
      </c>
      <c r="G28" s="11" t="n">
        <v>510</v>
      </c>
    </row>
    <row r="29" customFormat="false" ht="15" hidden="false" customHeight="false" outlineLevel="0" collapsed="false">
      <c r="A29" s="10" t="n">
        <v>6.52865052223206</v>
      </c>
      <c r="B29" s="11" t="n">
        <v>0</v>
      </c>
      <c r="C29" s="12" t="n">
        <f aca="false">B29*'Correction factors'!$B$7</f>
        <v>0</v>
      </c>
      <c r="D29" s="13" t="n">
        <v>1.05893</v>
      </c>
      <c r="E29" s="14" t="n">
        <v>0</v>
      </c>
      <c r="F29" s="10" t="n">
        <f aca="false">E29/'Correction factors'!$B$10</f>
        <v>0</v>
      </c>
      <c r="G29" s="11" t="n">
        <v>510</v>
      </c>
    </row>
    <row r="30" customFormat="false" ht="15" hidden="false" customHeight="false" outlineLevel="0" collapsed="false">
      <c r="A30" s="10" t="n">
        <v>7.00584387779236</v>
      </c>
      <c r="B30" s="11" t="n">
        <v>0</v>
      </c>
      <c r="C30" s="12" t="n">
        <f aca="false">B30*'Correction factors'!$B$7</f>
        <v>0</v>
      </c>
      <c r="D30" s="13" t="n">
        <v>1.05893</v>
      </c>
      <c r="E30" s="14" t="n">
        <v>0</v>
      </c>
      <c r="F30" s="10" t="n">
        <f aca="false">E30/'Correction factors'!$B$10</f>
        <v>0</v>
      </c>
      <c r="G30" s="11" t="n">
        <v>510</v>
      </c>
    </row>
    <row r="31" customFormat="false" ht="15" hidden="false" customHeight="false" outlineLevel="0" collapsed="false">
      <c r="A31" s="10" t="n">
        <v>7.00584387779236</v>
      </c>
      <c r="B31" s="11" t="n">
        <v>0</v>
      </c>
      <c r="C31" s="12" t="n">
        <f aca="false">B31*'Correction factors'!$B$7</f>
        <v>0</v>
      </c>
      <c r="D31" s="13" t="n">
        <v>1.068751</v>
      </c>
      <c r="E31" s="14" t="n">
        <v>0</v>
      </c>
      <c r="F31" s="10" t="n">
        <f aca="false">E31/'Correction factors'!$B$10</f>
        <v>0</v>
      </c>
      <c r="G31" s="11" t="n">
        <v>510</v>
      </c>
    </row>
    <row r="32" customFormat="false" ht="15" hidden="false" customHeight="false" outlineLevel="0" collapsed="false">
      <c r="A32" s="10" t="n">
        <v>7.46304798126221</v>
      </c>
      <c r="B32" s="11" t="n">
        <v>0</v>
      </c>
      <c r="C32" s="12" t="n">
        <f aca="false">B32*'Correction factors'!$B$7</f>
        <v>0</v>
      </c>
      <c r="D32" s="13" t="n">
        <v>1.05893</v>
      </c>
      <c r="E32" s="14" t="n">
        <v>0</v>
      </c>
      <c r="F32" s="10" t="n">
        <f aca="false">E32/'Correction factors'!$B$10</f>
        <v>0</v>
      </c>
      <c r="G32" s="11" t="n">
        <v>510</v>
      </c>
    </row>
    <row r="33" customFormat="false" ht="15" hidden="false" customHeight="false" outlineLevel="0" collapsed="false">
      <c r="A33" s="10" t="n">
        <v>7.46304798126221</v>
      </c>
      <c r="B33" s="11" t="n">
        <v>0</v>
      </c>
      <c r="C33" s="12" t="n">
        <f aca="false">B33*'Correction factors'!$B$7</f>
        <v>0</v>
      </c>
      <c r="D33" s="13" t="n">
        <v>1.05893</v>
      </c>
      <c r="E33" s="14" t="n">
        <v>0</v>
      </c>
      <c r="F33" s="10" t="n">
        <f aca="false">E33/'Correction factors'!$B$10</f>
        <v>0</v>
      </c>
      <c r="G33" s="11" t="n">
        <v>510</v>
      </c>
    </row>
    <row r="34" customFormat="false" ht="15" hidden="false" customHeight="false" outlineLevel="0" collapsed="false">
      <c r="A34" s="10" t="n">
        <v>7.46304798126221</v>
      </c>
      <c r="B34" s="11" t="n">
        <v>0</v>
      </c>
      <c r="C34" s="12" t="n">
        <f aca="false">B34*'Correction factors'!$B$7</f>
        <v>0</v>
      </c>
      <c r="D34" s="13" t="n">
        <v>1.068751</v>
      </c>
      <c r="E34" s="14" t="n">
        <v>0</v>
      </c>
      <c r="F34" s="10" t="n">
        <f aca="false">E34/'Correction factors'!$B$10</f>
        <v>0</v>
      </c>
      <c r="G34" s="11" t="n">
        <v>510</v>
      </c>
    </row>
    <row r="35" customFormat="false" ht="15" hidden="false" customHeight="false" outlineLevel="0" collapsed="false">
      <c r="A35" s="10" t="n">
        <v>7.95690131187439</v>
      </c>
      <c r="B35" s="11" t="n">
        <v>0</v>
      </c>
      <c r="C35" s="12" t="n">
        <f aca="false">B35*'Correction factors'!$B$7</f>
        <v>0</v>
      </c>
      <c r="D35" s="13" t="n">
        <v>1.049108</v>
      </c>
      <c r="E35" s="14" t="n">
        <v>0</v>
      </c>
      <c r="F35" s="10" t="n">
        <f aca="false">E35/'Correction factors'!$B$10</f>
        <v>0</v>
      </c>
      <c r="G35" s="11" t="n">
        <v>510</v>
      </c>
    </row>
    <row r="36" customFormat="false" ht="15" hidden="false" customHeight="false" outlineLevel="0" collapsed="false">
      <c r="A36" s="10" t="n">
        <v>7.95690131187439</v>
      </c>
      <c r="B36" s="11" t="n">
        <v>0</v>
      </c>
      <c r="C36" s="12" t="n">
        <f aca="false">B36*'Correction factors'!$B$7</f>
        <v>0</v>
      </c>
      <c r="D36" s="13" t="n">
        <v>1.068751</v>
      </c>
      <c r="E36" s="14" t="n">
        <v>0</v>
      </c>
      <c r="F36" s="10" t="n">
        <f aca="false">E36/'Correction factors'!$B$10</f>
        <v>0</v>
      </c>
      <c r="G36" s="11" t="n">
        <v>510</v>
      </c>
    </row>
    <row r="37" customFormat="false" ht="15" hidden="false" customHeight="false" outlineLevel="0" collapsed="false">
      <c r="A37" s="10" t="n">
        <v>8.4066436290741</v>
      </c>
      <c r="B37" s="11" t="n">
        <v>0</v>
      </c>
      <c r="C37" s="12" t="n">
        <f aca="false">B37*'Correction factors'!$B$7</f>
        <v>0</v>
      </c>
      <c r="D37" s="13" t="n">
        <v>1.068751</v>
      </c>
      <c r="E37" s="14" t="n">
        <v>0</v>
      </c>
      <c r="F37" s="10" t="n">
        <f aca="false">E37/'Correction factors'!$B$10</f>
        <v>0</v>
      </c>
      <c r="G37" s="11" t="n">
        <v>510</v>
      </c>
    </row>
    <row r="38" customFormat="false" ht="15" hidden="false" customHeight="false" outlineLevel="0" collapsed="false">
      <c r="A38" s="10" t="n">
        <v>8.4066436290741</v>
      </c>
      <c r="B38" s="11" t="n">
        <v>0</v>
      </c>
      <c r="C38" s="12" t="n">
        <f aca="false">B38*'Correction factors'!$B$7</f>
        <v>0</v>
      </c>
      <c r="D38" s="13" t="n">
        <v>1.049108</v>
      </c>
      <c r="E38" s="14" t="n">
        <v>0</v>
      </c>
      <c r="F38" s="10" t="n">
        <f aca="false">E38/'Correction factors'!$B$10</f>
        <v>0</v>
      </c>
      <c r="G38" s="11" t="n">
        <v>510</v>
      </c>
    </row>
    <row r="39" customFormat="false" ht="15" hidden="false" customHeight="false" outlineLevel="0" collapsed="false">
      <c r="A39" s="10" t="n">
        <v>8.83964467048645</v>
      </c>
      <c r="B39" s="11" t="n">
        <v>0</v>
      </c>
      <c r="C39" s="12" t="n">
        <f aca="false">B39*'Correction factors'!$B$7</f>
        <v>0</v>
      </c>
      <c r="D39" s="13" t="n">
        <v>1.049108</v>
      </c>
      <c r="E39" s="14" t="n">
        <v>0</v>
      </c>
      <c r="F39" s="10" t="n">
        <f aca="false">E39/'Correction factors'!$B$10</f>
        <v>0</v>
      </c>
      <c r="G39" s="11" t="n">
        <v>510</v>
      </c>
    </row>
    <row r="40" customFormat="false" ht="15" hidden="false" customHeight="false" outlineLevel="0" collapsed="false">
      <c r="A40" s="10" t="n">
        <v>8.83964467048645</v>
      </c>
      <c r="B40" s="11" t="n">
        <v>0</v>
      </c>
      <c r="C40" s="12" t="n">
        <f aca="false">B40*'Correction factors'!$B$7</f>
        <v>0</v>
      </c>
      <c r="D40" s="13" t="n">
        <v>1.05893</v>
      </c>
      <c r="E40" s="14" t="n">
        <v>0</v>
      </c>
      <c r="F40" s="10" t="n">
        <f aca="false">E40/'Correction factors'!$B$10</f>
        <v>0</v>
      </c>
      <c r="G40" s="11" t="n">
        <v>510</v>
      </c>
    </row>
    <row r="41" customFormat="false" ht="15" hidden="false" customHeight="false" outlineLevel="0" collapsed="false">
      <c r="A41" s="10" t="n">
        <v>9.27194213867188</v>
      </c>
      <c r="B41" s="11" t="n">
        <v>0</v>
      </c>
      <c r="C41" s="12" t="n">
        <f aca="false">B41*'Correction factors'!$B$7</f>
        <v>0</v>
      </c>
      <c r="D41" s="13" t="n">
        <v>1.05893</v>
      </c>
      <c r="E41" s="14" t="n">
        <v>0</v>
      </c>
      <c r="F41" s="10" t="n">
        <f aca="false">E41/'Correction factors'!$B$10</f>
        <v>0</v>
      </c>
      <c r="G41" s="11" t="n">
        <v>510</v>
      </c>
    </row>
    <row r="42" customFormat="false" ht="15" hidden="false" customHeight="false" outlineLevel="0" collapsed="false">
      <c r="A42" s="10" t="n">
        <v>9.27194213867188</v>
      </c>
      <c r="B42" s="11" t="n">
        <v>0</v>
      </c>
      <c r="C42" s="12" t="n">
        <f aca="false">B42*'Correction factors'!$B$7</f>
        <v>0</v>
      </c>
      <c r="D42" s="13" t="n">
        <v>1.05893</v>
      </c>
      <c r="E42" s="14" t="n">
        <v>0</v>
      </c>
      <c r="F42" s="10" t="n">
        <f aca="false">E42/'Correction factors'!$B$10</f>
        <v>0</v>
      </c>
      <c r="G42" s="11" t="n">
        <v>510</v>
      </c>
    </row>
    <row r="43" customFormat="false" ht="15" hidden="false" customHeight="false" outlineLevel="0" collapsed="false">
      <c r="A43" s="10" t="n">
        <v>9.68950963020325</v>
      </c>
      <c r="B43" s="11" t="n">
        <v>0</v>
      </c>
      <c r="C43" s="12" t="n">
        <f aca="false">B43*'Correction factors'!$B$7</f>
        <v>0</v>
      </c>
      <c r="D43" s="13" t="n">
        <v>1.049108</v>
      </c>
      <c r="E43" s="14" t="n">
        <v>0</v>
      </c>
      <c r="F43" s="10" t="n">
        <f aca="false">E43/'Correction factors'!$B$10</f>
        <v>0</v>
      </c>
      <c r="G43" s="11" t="n">
        <v>510</v>
      </c>
    </row>
    <row r="44" customFormat="false" ht="15" hidden="false" customHeight="false" outlineLevel="0" collapsed="false">
      <c r="A44" s="10" t="n">
        <v>9.68950963020325</v>
      </c>
      <c r="B44" s="11" t="n">
        <v>0</v>
      </c>
      <c r="C44" s="12" t="n">
        <f aca="false">B44*'Correction factors'!$B$7</f>
        <v>0</v>
      </c>
      <c r="D44" s="13" t="n">
        <v>1.05893</v>
      </c>
      <c r="E44" s="14" t="n">
        <v>0</v>
      </c>
      <c r="F44" s="10" t="n">
        <f aca="false">E44/'Correction factors'!$B$10</f>
        <v>0</v>
      </c>
      <c r="G44" s="11" t="n">
        <v>510</v>
      </c>
    </row>
    <row r="45" customFormat="false" ht="15" hidden="false" customHeight="false" outlineLevel="0" collapsed="false">
      <c r="A45" s="10" t="n">
        <v>10.0943315029144</v>
      </c>
      <c r="B45" s="11" t="n">
        <v>0</v>
      </c>
      <c r="C45" s="12" t="n">
        <f aca="false">B45*'Correction factors'!$B$7</f>
        <v>0</v>
      </c>
      <c r="D45" s="13" t="n">
        <v>1.068751</v>
      </c>
      <c r="E45" s="14" t="n">
        <v>0</v>
      </c>
      <c r="F45" s="10" t="n">
        <f aca="false">E45/'Correction factors'!$B$10</f>
        <v>0</v>
      </c>
      <c r="G45" s="11" t="n">
        <v>510</v>
      </c>
    </row>
    <row r="46" customFormat="false" ht="15" hidden="false" customHeight="false" outlineLevel="0" collapsed="false">
      <c r="A46" s="10" t="n">
        <v>10.0943315029144</v>
      </c>
      <c r="B46" s="11" t="n">
        <v>0</v>
      </c>
      <c r="C46" s="12" t="n">
        <f aca="false">B46*'Correction factors'!$B$7</f>
        <v>0</v>
      </c>
      <c r="D46" s="13" t="n">
        <v>1.530366</v>
      </c>
      <c r="E46" s="14" t="n">
        <v>56</v>
      </c>
      <c r="F46" s="10" t="n">
        <f aca="false">E46/'Correction factors'!$B$10</f>
        <v>4.5164</v>
      </c>
      <c r="G46" s="11" t="n">
        <v>510</v>
      </c>
    </row>
    <row r="47" customFormat="false" ht="15" hidden="false" customHeight="false" outlineLevel="0" collapsed="false">
      <c r="A47" s="10" t="n">
        <v>10.532007932663</v>
      </c>
      <c r="B47" s="11" t="n">
        <v>0</v>
      </c>
      <c r="C47" s="12" t="n">
        <f aca="false">B47*'Correction factors'!$B$7</f>
        <v>0</v>
      </c>
      <c r="D47" s="13" t="n">
        <v>1.658047</v>
      </c>
      <c r="E47" s="14" t="n">
        <v>248</v>
      </c>
      <c r="F47" s="10" t="n">
        <f aca="false">E47/'Correction factors'!$B$10</f>
        <v>20.0012</v>
      </c>
      <c r="G47" s="11" t="n">
        <v>510</v>
      </c>
    </row>
    <row r="48" customFormat="false" ht="15" hidden="false" customHeight="false" outlineLevel="0" collapsed="false">
      <c r="A48" s="10" t="n">
        <v>10.532007932663</v>
      </c>
      <c r="B48" s="11" t="n">
        <v>0</v>
      </c>
      <c r="C48" s="12" t="n">
        <f aca="false">B48*'Correction factors'!$B$7</f>
        <v>0</v>
      </c>
      <c r="D48" s="13" t="n">
        <v>1.775906</v>
      </c>
      <c r="E48" s="14" t="n">
        <v>320</v>
      </c>
      <c r="F48" s="10" t="n">
        <f aca="false">E48/'Correction factors'!$B$10</f>
        <v>25.808</v>
      </c>
      <c r="G48" s="11" t="n">
        <v>510</v>
      </c>
    </row>
    <row r="49" customFormat="false" ht="15" hidden="false" customHeight="false" outlineLevel="0" collapsed="false">
      <c r="A49" s="10" t="n">
        <v>10.9683568477631</v>
      </c>
      <c r="B49" s="11" t="n">
        <v>0</v>
      </c>
      <c r="C49" s="12" t="n">
        <f aca="false">B49*'Correction factors'!$B$7</f>
        <v>0</v>
      </c>
      <c r="D49" s="13" t="n">
        <v>1.893765</v>
      </c>
      <c r="E49" s="14" t="n">
        <v>368</v>
      </c>
      <c r="F49" s="10" t="n">
        <f aca="false">E49/'Correction factors'!$B$10</f>
        <v>29.6792</v>
      </c>
      <c r="G49" s="11" t="n">
        <v>510</v>
      </c>
    </row>
    <row r="50" customFormat="false" ht="15" hidden="false" customHeight="false" outlineLevel="0" collapsed="false">
      <c r="A50" s="10" t="n">
        <v>10.9683568477631</v>
      </c>
      <c r="B50" s="11" t="n">
        <v>0</v>
      </c>
      <c r="C50" s="12" t="n">
        <f aca="false">B50*'Correction factors'!$B$7</f>
        <v>0</v>
      </c>
      <c r="D50" s="13" t="n">
        <v>1.991981</v>
      </c>
      <c r="E50" s="14" t="n">
        <v>392</v>
      </c>
      <c r="F50" s="10" t="n">
        <f aca="false">E50/'Correction factors'!$B$10</f>
        <v>31.6148</v>
      </c>
      <c r="G50" s="11" t="n">
        <v>510</v>
      </c>
    </row>
    <row r="51" customFormat="false" ht="15" hidden="false" customHeight="false" outlineLevel="0" collapsed="false">
      <c r="A51" s="10" t="n">
        <v>10.9683568477631</v>
      </c>
      <c r="B51" s="11" t="n">
        <v>0</v>
      </c>
      <c r="C51" s="12" t="n">
        <f aca="false">B51*'Correction factors'!$B$7</f>
        <v>0</v>
      </c>
      <c r="D51" s="13" t="n">
        <v>2.080375</v>
      </c>
      <c r="E51" s="14" t="n">
        <v>416</v>
      </c>
      <c r="F51" s="10" t="n">
        <f aca="false">E51/'Correction factors'!$B$10</f>
        <v>33.5504</v>
      </c>
      <c r="G51" s="11" t="n">
        <v>510</v>
      </c>
    </row>
    <row r="52" customFormat="false" ht="15" hidden="false" customHeight="false" outlineLevel="0" collapsed="false">
      <c r="A52" s="10" t="n">
        <v>11.483571767807</v>
      </c>
      <c r="B52" s="11" t="n">
        <v>0</v>
      </c>
      <c r="C52" s="12" t="n">
        <f aca="false">B52*'Correction factors'!$B$7</f>
        <v>0</v>
      </c>
      <c r="D52" s="13" t="n">
        <v>2.158948</v>
      </c>
      <c r="E52" s="14" t="n">
        <v>432</v>
      </c>
      <c r="F52" s="10" t="n">
        <f aca="false">E52/'Correction factors'!$B$10</f>
        <v>34.8408</v>
      </c>
      <c r="G52" s="11" t="n">
        <v>510</v>
      </c>
    </row>
    <row r="53" customFormat="false" ht="15" hidden="false" customHeight="false" outlineLevel="0" collapsed="false">
      <c r="A53" s="10" t="n">
        <v>11.483571767807</v>
      </c>
      <c r="B53" s="11" t="n">
        <v>300</v>
      </c>
      <c r="C53" s="12" t="n">
        <f aca="false">B53*'Correction factors'!$B$7</f>
        <v>1451.7</v>
      </c>
      <c r="D53" s="13" t="n">
        <v>2.208056</v>
      </c>
      <c r="E53" s="14" t="n">
        <v>448</v>
      </c>
      <c r="F53" s="10" t="n">
        <f aca="false">E53/'Correction factors'!$B$10</f>
        <v>36.1312</v>
      </c>
      <c r="G53" s="11" t="n">
        <v>510</v>
      </c>
    </row>
    <row r="54" customFormat="false" ht="15" hidden="false" customHeight="false" outlineLevel="0" collapsed="false">
      <c r="A54" s="10" t="n">
        <v>11.9329438209534</v>
      </c>
      <c r="B54" s="11" t="n">
        <v>460</v>
      </c>
      <c r="C54" s="12" t="n">
        <f aca="false">B54*'Correction factors'!$B$7</f>
        <v>2225.94</v>
      </c>
      <c r="D54" s="13" t="n">
        <v>2.266986</v>
      </c>
      <c r="E54" s="14" t="n">
        <v>464</v>
      </c>
      <c r="F54" s="10" t="n">
        <f aca="false">E54/'Correction factors'!$B$10</f>
        <v>37.4216</v>
      </c>
      <c r="G54" s="11" t="n">
        <v>510</v>
      </c>
    </row>
    <row r="55" customFormat="false" ht="15" hidden="false" customHeight="false" outlineLevel="0" collapsed="false">
      <c r="A55" s="10" t="n">
        <v>11.9329438209534</v>
      </c>
      <c r="B55" s="11" t="n">
        <v>500</v>
      </c>
      <c r="C55" s="12" t="n">
        <f aca="false">B55*'Correction factors'!$B$7</f>
        <v>2419.5</v>
      </c>
      <c r="D55" s="13" t="n">
        <v>2.316094</v>
      </c>
      <c r="E55" s="14" t="n">
        <v>488</v>
      </c>
      <c r="F55" s="10" t="n">
        <f aca="false">E55/'Correction factors'!$B$10</f>
        <v>39.3572</v>
      </c>
      <c r="G55" s="11" t="n">
        <v>510</v>
      </c>
    </row>
    <row r="56" customFormat="false" ht="15" hidden="false" customHeight="false" outlineLevel="0" collapsed="false">
      <c r="A56" s="10" t="n">
        <v>12.3752772808075</v>
      </c>
      <c r="B56" s="11" t="n">
        <v>500</v>
      </c>
      <c r="C56" s="12" t="n">
        <f aca="false">B56*'Correction factors'!$B$7</f>
        <v>2419.5</v>
      </c>
      <c r="D56" s="13" t="n">
        <v>2.35538</v>
      </c>
      <c r="E56" s="14" t="n">
        <v>496</v>
      </c>
      <c r="F56" s="10" t="n">
        <f aca="false">E56/'Correction factors'!$B$10</f>
        <v>40.0024</v>
      </c>
      <c r="G56" s="11" t="n">
        <v>510</v>
      </c>
    </row>
    <row r="57" customFormat="false" ht="15" hidden="false" customHeight="false" outlineLevel="0" collapsed="false">
      <c r="A57" s="10" t="n">
        <v>12.3752772808075</v>
      </c>
      <c r="B57" s="11" t="n">
        <v>500</v>
      </c>
      <c r="C57" s="12" t="n">
        <f aca="false">B57*'Correction factors'!$B$7</f>
        <v>2419.5</v>
      </c>
      <c r="D57" s="13" t="n">
        <v>2.384845</v>
      </c>
      <c r="E57" s="14" t="n">
        <v>496</v>
      </c>
      <c r="F57" s="10" t="n">
        <f aca="false">E57/'Correction factors'!$B$10</f>
        <v>40.0024</v>
      </c>
      <c r="G57" s="11" t="n">
        <v>510</v>
      </c>
    </row>
    <row r="58" customFormat="false" ht="15" hidden="false" customHeight="false" outlineLevel="0" collapsed="false">
      <c r="A58" s="10" t="n">
        <v>12.8282580375671</v>
      </c>
      <c r="B58" s="11" t="n">
        <v>520</v>
      </c>
      <c r="C58" s="12" t="n">
        <f aca="false">B58*'Correction factors'!$B$7</f>
        <v>2516.28</v>
      </c>
      <c r="D58" s="13" t="n">
        <v>2.404488</v>
      </c>
      <c r="E58" s="14" t="n">
        <v>512</v>
      </c>
      <c r="F58" s="10" t="n">
        <f aca="false">E58/'Correction factors'!$B$10</f>
        <v>41.2928</v>
      </c>
      <c r="G58" s="11" t="n">
        <v>510</v>
      </c>
    </row>
    <row r="59" customFormat="false" ht="15" hidden="false" customHeight="false" outlineLevel="0" collapsed="false">
      <c r="A59" s="10" t="n">
        <v>12.8282580375671</v>
      </c>
      <c r="B59" s="11" t="n">
        <v>520</v>
      </c>
      <c r="C59" s="12" t="n">
        <f aca="false">B59*'Correction factors'!$B$7</f>
        <v>2516.28</v>
      </c>
      <c r="D59" s="13" t="n">
        <v>2.424131</v>
      </c>
      <c r="E59" s="14" t="n">
        <v>512</v>
      </c>
      <c r="F59" s="10" t="n">
        <f aca="false">E59/'Correction factors'!$B$10</f>
        <v>41.2928</v>
      </c>
      <c r="G59" s="11" t="n">
        <v>510</v>
      </c>
    </row>
    <row r="60" customFormat="false" ht="15" hidden="false" customHeight="false" outlineLevel="0" collapsed="false">
      <c r="A60" s="10" t="n">
        <v>12.8282580375671</v>
      </c>
      <c r="B60" s="11" t="n">
        <v>520</v>
      </c>
      <c r="C60" s="12" t="n">
        <f aca="false">B60*'Correction factors'!$B$7</f>
        <v>2516.28</v>
      </c>
      <c r="D60" s="13" t="n">
        <v>2.424131</v>
      </c>
      <c r="E60" s="14" t="n">
        <v>520</v>
      </c>
      <c r="F60" s="10" t="n">
        <f aca="false">E60/'Correction factors'!$B$10</f>
        <v>41.938</v>
      </c>
      <c r="G60" s="11" t="n">
        <v>510</v>
      </c>
    </row>
    <row r="61" customFormat="false" ht="15" hidden="false" customHeight="false" outlineLevel="0" collapsed="false">
      <c r="A61" s="10" t="n">
        <v>13.3341872692108</v>
      </c>
      <c r="B61" s="11" t="n">
        <v>560</v>
      </c>
      <c r="C61" s="12" t="n">
        <f aca="false">B61*'Correction factors'!$B$7</f>
        <v>2709.84</v>
      </c>
      <c r="D61" s="13" t="n">
        <v>2.433953</v>
      </c>
      <c r="E61" s="14" t="n">
        <v>520</v>
      </c>
      <c r="F61" s="10" t="n">
        <f aca="false">E61/'Correction factors'!$B$10</f>
        <v>41.938</v>
      </c>
      <c r="G61" s="11" t="n">
        <v>510</v>
      </c>
    </row>
    <row r="62" customFormat="false" ht="15" hidden="false" customHeight="false" outlineLevel="0" collapsed="false">
      <c r="A62" s="10" t="n">
        <v>13.3341872692108</v>
      </c>
      <c r="B62" s="11" t="n">
        <v>540</v>
      </c>
      <c r="C62" s="12" t="n">
        <f aca="false">B62*'Correction factors'!$B$7</f>
        <v>2613.06</v>
      </c>
      <c r="D62" s="13" t="n">
        <v>2.443774</v>
      </c>
      <c r="E62" s="14" t="n">
        <v>528</v>
      </c>
      <c r="F62" s="10" t="n">
        <f aca="false">E62/'Correction factors'!$B$10</f>
        <v>42.5832</v>
      </c>
      <c r="G62" s="11" t="n">
        <v>510</v>
      </c>
    </row>
    <row r="63" customFormat="false" ht="15" hidden="false" customHeight="false" outlineLevel="0" collapsed="false">
      <c r="A63" s="10" t="n">
        <v>13.7891323566437</v>
      </c>
      <c r="B63" s="11" t="n">
        <v>560</v>
      </c>
      <c r="C63" s="12" t="n">
        <f aca="false">B63*'Correction factors'!$B$7</f>
        <v>2709.84</v>
      </c>
      <c r="D63" s="13" t="n">
        <v>2.443774</v>
      </c>
      <c r="E63" s="14" t="n">
        <v>520</v>
      </c>
      <c r="F63" s="10" t="n">
        <f aca="false">E63/'Correction factors'!$B$10</f>
        <v>41.938</v>
      </c>
      <c r="G63" s="11" t="n">
        <v>510</v>
      </c>
    </row>
    <row r="64" customFormat="false" ht="15" hidden="false" customHeight="false" outlineLevel="0" collapsed="false">
      <c r="A64" s="10" t="n">
        <v>13.7891323566437</v>
      </c>
      <c r="B64" s="11" t="n">
        <v>560</v>
      </c>
      <c r="C64" s="12" t="n">
        <f aca="false">B64*'Correction factors'!$B$7</f>
        <v>2709.84</v>
      </c>
      <c r="D64" s="13" t="n">
        <v>2.453596</v>
      </c>
      <c r="E64" s="14" t="n">
        <v>536</v>
      </c>
      <c r="F64" s="10" t="n">
        <f aca="false">E64/'Correction factors'!$B$10</f>
        <v>43.2284</v>
      </c>
      <c r="G64" s="11" t="n">
        <v>510</v>
      </c>
    </row>
    <row r="65" customFormat="false" ht="15" hidden="false" customHeight="false" outlineLevel="0" collapsed="false">
      <c r="A65" s="10" t="n">
        <v>14.2477805614471</v>
      </c>
      <c r="B65" s="11" t="n">
        <v>560</v>
      </c>
      <c r="C65" s="12" t="n">
        <f aca="false">B65*'Correction factors'!$B$7</f>
        <v>2709.84</v>
      </c>
      <c r="D65" s="13" t="n">
        <v>2.443774</v>
      </c>
      <c r="E65" s="14" t="n">
        <v>528</v>
      </c>
      <c r="F65" s="10" t="n">
        <f aca="false">E65/'Correction factors'!$B$10</f>
        <v>42.5832</v>
      </c>
      <c r="G65" s="11" t="n">
        <v>510</v>
      </c>
    </row>
    <row r="66" customFormat="false" ht="15" hidden="false" customHeight="false" outlineLevel="0" collapsed="false">
      <c r="A66" s="10" t="n">
        <v>14.2477805614471</v>
      </c>
      <c r="B66" s="11" t="n">
        <v>520</v>
      </c>
      <c r="C66" s="12" t="n">
        <f aca="false">B66*'Correction factors'!$B$7</f>
        <v>2516.28</v>
      </c>
      <c r="D66" s="13" t="n">
        <v>2.453596</v>
      </c>
      <c r="E66" s="14" t="n">
        <v>528</v>
      </c>
      <c r="F66" s="10" t="n">
        <f aca="false">E66/'Correction factors'!$B$10</f>
        <v>42.5832</v>
      </c>
      <c r="G66" s="11" t="n">
        <v>510</v>
      </c>
    </row>
    <row r="67" customFormat="false" ht="15" hidden="false" customHeight="false" outlineLevel="0" collapsed="false">
      <c r="A67" s="10" t="n">
        <v>14.715185880661</v>
      </c>
      <c r="B67" s="11" t="n">
        <v>520</v>
      </c>
      <c r="C67" s="12" t="n">
        <f aca="false">B67*'Correction factors'!$B$7</f>
        <v>2516.28</v>
      </c>
      <c r="D67" s="13" t="n">
        <v>2.443774</v>
      </c>
      <c r="E67" s="14" t="n">
        <v>536</v>
      </c>
      <c r="F67" s="10" t="n">
        <f aca="false">E67/'Correction factors'!$B$10</f>
        <v>43.2284</v>
      </c>
      <c r="G67" s="11" t="n">
        <v>510</v>
      </c>
    </row>
    <row r="68" customFormat="false" ht="15" hidden="false" customHeight="false" outlineLevel="0" collapsed="false">
      <c r="A68" s="10" t="n">
        <v>14.715185880661</v>
      </c>
      <c r="B68" s="11" t="n">
        <v>560</v>
      </c>
      <c r="C68" s="12" t="n">
        <f aca="false">B68*'Correction factors'!$B$7</f>
        <v>2709.84</v>
      </c>
      <c r="D68" s="13" t="n">
        <v>2.443774</v>
      </c>
      <c r="E68" s="14" t="n">
        <v>528</v>
      </c>
      <c r="F68" s="10" t="n">
        <f aca="false">E68/'Correction factors'!$B$10</f>
        <v>42.5832</v>
      </c>
      <c r="G68" s="11" t="n">
        <v>510</v>
      </c>
    </row>
    <row r="69" customFormat="false" ht="15" hidden="false" customHeight="false" outlineLevel="0" collapsed="false">
      <c r="A69" s="10" t="n">
        <v>14.715185880661</v>
      </c>
      <c r="B69" s="11" t="n">
        <v>560</v>
      </c>
      <c r="C69" s="12" t="n">
        <f aca="false">B69*'Correction factors'!$B$7</f>
        <v>2709.84</v>
      </c>
      <c r="D69" s="13" t="n">
        <v>2.433953</v>
      </c>
      <c r="E69" s="14" t="n">
        <v>520</v>
      </c>
      <c r="F69" s="10" t="n">
        <f aca="false">E69/'Correction factors'!$B$10</f>
        <v>41.938</v>
      </c>
      <c r="G69" s="11" t="n">
        <v>510</v>
      </c>
    </row>
    <row r="70" customFormat="false" ht="15" hidden="false" customHeight="false" outlineLevel="0" collapsed="false">
      <c r="A70" s="10" t="n">
        <v>15.2222871780396</v>
      </c>
      <c r="B70" s="11" t="n">
        <v>560</v>
      </c>
      <c r="C70" s="12" t="n">
        <f aca="false">B70*'Correction factors'!$B$7</f>
        <v>2709.84</v>
      </c>
      <c r="D70" s="13" t="n">
        <v>2.433953</v>
      </c>
      <c r="E70" s="14" t="n">
        <v>528</v>
      </c>
      <c r="F70" s="10" t="n">
        <f aca="false">E70/'Correction factors'!$B$10</f>
        <v>42.5832</v>
      </c>
      <c r="G70" s="11" t="n">
        <v>510</v>
      </c>
    </row>
    <row r="71" customFormat="false" ht="15" hidden="false" customHeight="false" outlineLevel="0" collapsed="false">
      <c r="A71" s="10" t="n">
        <v>15.2222871780396</v>
      </c>
      <c r="B71" s="11" t="n">
        <v>540</v>
      </c>
      <c r="C71" s="12" t="n">
        <f aca="false">B71*'Correction factors'!$B$7</f>
        <v>2613.06</v>
      </c>
      <c r="D71" s="13" t="n">
        <v>2.424131</v>
      </c>
      <c r="E71" s="14" t="n">
        <v>520</v>
      </c>
      <c r="F71" s="10" t="n">
        <f aca="false">E71/'Correction factors'!$B$10</f>
        <v>41.938</v>
      </c>
      <c r="G71" s="11" t="n">
        <v>510</v>
      </c>
    </row>
    <row r="72" customFormat="false" ht="15" hidden="false" customHeight="false" outlineLevel="0" collapsed="false">
      <c r="A72" s="10" t="n">
        <v>15.7298114299774</v>
      </c>
      <c r="B72" s="11" t="n">
        <v>540</v>
      </c>
      <c r="C72" s="12" t="n">
        <f aca="false">B72*'Correction factors'!$B$7</f>
        <v>2613.06</v>
      </c>
      <c r="D72" s="13" t="n">
        <v>2.41431</v>
      </c>
      <c r="E72" s="14" t="n">
        <v>520</v>
      </c>
      <c r="F72" s="10" t="n">
        <f aca="false">E72/'Correction factors'!$B$10</f>
        <v>41.938</v>
      </c>
      <c r="G72" s="11" t="n">
        <v>510</v>
      </c>
    </row>
    <row r="73" customFormat="false" ht="15" hidden="false" customHeight="false" outlineLevel="0" collapsed="false">
      <c r="A73" s="10" t="n">
        <v>15.7298114299774</v>
      </c>
      <c r="B73" s="11" t="n">
        <v>560</v>
      </c>
      <c r="C73" s="12" t="n">
        <f aca="false">B73*'Correction factors'!$B$7</f>
        <v>2709.84</v>
      </c>
      <c r="D73" s="13" t="n">
        <v>2.404488</v>
      </c>
      <c r="E73" s="14" t="n">
        <v>520</v>
      </c>
      <c r="F73" s="10" t="n">
        <f aca="false">E73/'Correction factors'!$B$10</f>
        <v>41.938</v>
      </c>
      <c r="G73" s="11" t="n">
        <v>510</v>
      </c>
    </row>
    <row r="74" customFormat="false" ht="15" hidden="false" customHeight="false" outlineLevel="0" collapsed="false">
      <c r="A74" s="10" t="n">
        <v>15.7298114299774</v>
      </c>
      <c r="B74" s="11" t="n">
        <v>540</v>
      </c>
      <c r="C74" s="12" t="n">
        <f aca="false">B74*'Correction factors'!$B$7</f>
        <v>2613.06</v>
      </c>
      <c r="D74" s="13" t="n">
        <v>2.384845</v>
      </c>
      <c r="E74" s="14" t="n">
        <v>520</v>
      </c>
      <c r="F74" s="10" t="n">
        <f aca="false">E74/'Correction factors'!$B$10</f>
        <v>41.938</v>
      </c>
      <c r="G74" s="11" t="n">
        <v>510</v>
      </c>
    </row>
    <row r="75" customFormat="false" ht="15" hidden="false" customHeight="false" outlineLevel="0" collapsed="false">
      <c r="A75" s="10" t="n">
        <v>16.2489123344421</v>
      </c>
      <c r="B75" s="11" t="n">
        <v>540</v>
      </c>
      <c r="C75" s="12" t="n">
        <f aca="false">B75*'Correction factors'!$B$7</f>
        <v>2613.06</v>
      </c>
      <c r="D75" s="13" t="n">
        <v>2.384845</v>
      </c>
      <c r="E75" s="14" t="n">
        <v>520</v>
      </c>
      <c r="F75" s="10" t="n">
        <f aca="false">E75/'Correction factors'!$B$10</f>
        <v>41.938</v>
      </c>
      <c r="G75" s="11" t="n">
        <v>510</v>
      </c>
    </row>
    <row r="76" customFormat="false" ht="15" hidden="false" customHeight="false" outlineLevel="0" collapsed="false">
      <c r="A76" s="10" t="n">
        <v>16.2489123344421</v>
      </c>
      <c r="B76" s="11" t="n">
        <v>560</v>
      </c>
      <c r="C76" s="12" t="n">
        <f aca="false">B76*'Correction factors'!$B$7</f>
        <v>2709.84</v>
      </c>
      <c r="D76" s="13" t="n">
        <v>2.375023</v>
      </c>
      <c r="E76" s="14" t="n">
        <v>520</v>
      </c>
      <c r="F76" s="10" t="n">
        <f aca="false">E76/'Correction factors'!$B$10</f>
        <v>41.938</v>
      </c>
      <c r="G76" s="11" t="n">
        <v>510</v>
      </c>
    </row>
    <row r="77" customFormat="false" ht="15" hidden="false" customHeight="false" outlineLevel="0" collapsed="false">
      <c r="A77" s="10" t="n">
        <v>16.7124490737915</v>
      </c>
      <c r="B77" s="11" t="n">
        <v>540</v>
      </c>
      <c r="C77" s="12" t="n">
        <f aca="false">B77*'Correction factors'!$B$7</f>
        <v>2613.06</v>
      </c>
      <c r="D77" s="13" t="n">
        <v>2.375023</v>
      </c>
      <c r="E77" s="14" t="n">
        <v>520</v>
      </c>
      <c r="F77" s="10" t="n">
        <f aca="false">E77/'Correction factors'!$B$10</f>
        <v>41.938</v>
      </c>
      <c r="G77" s="11" t="n">
        <v>510</v>
      </c>
    </row>
    <row r="78" customFormat="false" ht="15" hidden="false" customHeight="false" outlineLevel="0" collapsed="false">
      <c r="A78" s="10" t="n">
        <v>16.7124490737915</v>
      </c>
      <c r="B78" s="11" t="n">
        <v>540</v>
      </c>
      <c r="C78" s="12" t="n">
        <f aca="false">B78*'Correction factors'!$B$7</f>
        <v>2613.06</v>
      </c>
      <c r="D78" s="13" t="n">
        <v>2.35538</v>
      </c>
      <c r="E78" s="14" t="n">
        <v>512</v>
      </c>
      <c r="F78" s="10" t="n">
        <f aca="false">E78/'Correction factors'!$B$10</f>
        <v>41.2928</v>
      </c>
      <c r="G78" s="11" t="n">
        <v>510</v>
      </c>
    </row>
    <row r="79" customFormat="false" ht="15" hidden="false" customHeight="false" outlineLevel="0" collapsed="false">
      <c r="A79" s="10" t="n">
        <v>17.1770665645599</v>
      </c>
      <c r="B79" s="11" t="n">
        <v>540</v>
      </c>
      <c r="C79" s="12" t="n">
        <f aca="false">B79*'Correction factors'!$B$7</f>
        <v>2613.06</v>
      </c>
      <c r="D79" s="13" t="n">
        <v>2.35538</v>
      </c>
      <c r="E79" s="14" t="n">
        <v>504</v>
      </c>
      <c r="F79" s="10" t="n">
        <f aca="false">E79/'Correction factors'!$B$10</f>
        <v>40.6476</v>
      </c>
      <c r="G79" s="11" t="n">
        <v>510</v>
      </c>
    </row>
    <row r="80" customFormat="false" ht="15" hidden="false" customHeight="false" outlineLevel="0" collapsed="false">
      <c r="A80" s="10" t="n">
        <v>17.1770665645599</v>
      </c>
      <c r="B80" s="11" t="n">
        <v>520</v>
      </c>
      <c r="C80" s="12" t="n">
        <f aca="false">B80*'Correction factors'!$B$7</f>
        <v>2516.28</v>
      </c>
      <c r="D80" s="13" t="n">
        <v>2.345559</v>
      </c>
      <c r="E80" s="14" t="n">
        <v>504</v>
      </c>
      <c r="F80" s="10" t="n">
        <f aca="false">E80/'Correction factors'!$B$10</f>
        <v>40.6476</v>
      </c>
      <c r="G80" s="11" t="n">
        <v>510</v>
      </c>
    </row>
    <row r="81" customFormat="false" ht="15" hidden="false" customHeight="false" outlineLevel="0" collapsed="false">
      <c r="A81" s="10" t="n">
        <v>17.6401588916779</v>
      </c>
      <c r="B81" s="11" t="n">
        <v>520</v>
      </c>
      <c r="C81" s="12" t="n">
        <f aca="false">B81*'Correction factors'!$B$7</f>
        <v>2516.28</v>
      </c>
      <c r="D81" s="13" t="n">
        <v>2.325915</v>
      </c>
      <c r="E81" s="14" t="n">
        <v>504</v>
      </c>
      <c r="F81" s="10" t="n">
        <f aca="false">E81/'Correction factors'!$B$10</f>
        <v>40.6476</v>
      </c>
      <c r="G81" s="11" t="n">
        <v>510</v>
      </c>
    </row>
    <row r="82" customFormat="false" ht="15" hidden="false" customHeight="false" outlineLevel="0" collapsed="false">
      <c r="A82" s="10" t="n">
        <v>17.6401588916779</v>
      </c>
      <c r="B82" s="11" t="n">
        <v>520</v>
      </c>
      <c r="C82" s="12" t="n">
        <f aca="false">B82*'Correction factors'!$B$7</f>
        <v>2516.28</v>
      </c>
      <c r="D82" s="13" t="n">
        <v>2.316094</v>
      </c>
      <c r="E82" s="14" t="n">
        <v>504</v>
      </c>
      <c r="F82" s="10" t="n">
        <f aca="false">E82/'Correction factors'!$B$10</f>
        <v>40.6476</v>
      </c>
      <c r="G82" s="11" t="n">
        <v>510</v>
      </c>
    </row>
    <row r="83" customFormat="false" ht="15" hidden="false" customHeight="false" outlineLevel="0" collapsed="false">
      <c r="A83" s="10" t="n">
        <v>17.6401588916779</v>
      </c>
      <c r="B83" s="11" t="n">
        <v>520</v>
      </c>
      <c r="C83" s="12" t="n">
        <f aca="false">B83*'Correction factors'!$B$7</f>
        <v>2516.28</v>
      </c>
      <c r="D83" s="13" t="n">
        <v>2.316094</v>
      </c>
      <c r="E83" s="14" t="n">
        <v>504</v>
      </c>
      <c r="F83" s="10" t="n">
        <f aca="false">E83/'Correction factors'!$B$10</f>
        <v>40.6476</v>
      </c>
      <c r="G83" s="11" t="n">
        <v>510</v>
      </c>
    </row>
    <row r="84" customFormat="false" ht="15" hidden="false" customHeight="false" outlineLevel="0" collapsed="false">
      <c r="A84" s="10" t="n">
        <v>18.1502802371979</v>
      </c>
      <c r="B84" s="11" t="n">
        <v>500</v>
      </c>
      <c r="C84" s="12" t="n">
        <f aca="false">B84*'Correction factors'!$B$7</f>
        <v>2419.5</v>
      </c>
      <c r="D84" s="13" t="n">
        <v>2.296451</v>
      </c>
      <c r="E84" s="14" t="n">
        <v>496</v>
      </c>
      <c r="F84" s="10" t="n">
        <f aca="false">E84/'Correction factors'!$B$10</f>
        <v>40.0024</v>
      </c>
      <c r="G84" s="11" t="n">
        <v>510</v>
      </c>
    </row>
    <row r="85" customFormat="false" ht="15" hidden="false" customHeight="false" outlineLevel="0" collapsed="false">
      <c r="A85" s="10" t="n">
        <v>18.1502802371979</v>
      </c>
      <c r="B85" s="11" t="n">
        <v>500</v>
      </c>
      <c r="C85" s="12" t="n">
        <f aca="false">B85*'Correction factors'!$B$7</f>
        <v>2419.5</v>
      </c>
      <c r="D85" s="13" t="n">
        <v>2.286629</v>
      </c>
      <c r="E85" s="14" t="n">
        <v>488</v>
      </c>
      <c r="F85" s="10" t="n">
        <f aca="false">E85/'Correction factors'!$B$10</f>
        <v>39.3572</v>
      </c>
      <c r="G85" s="11" t="n">
        <v>510</v>
      </c>
    </row>
    <row r="86" customFormat="false" ht="15" hidden="false" customHeight="false" outlineLevel="0" collapsed="false">
      <c r="A86" s="10" t="n">
        <v>18.6335399150848</v>
      </c>
      <c r="B86" s="11" t="n">
        <v>500</v>
      </c>
      <c r="C86" s="12" t="n">
        <f aca="false">B86*'Correction factors'!$B$7</f>
        <v>2419.5</v>
      </c>
      <c r="D86" s="13" t="n">
        <v>2.266986</v>
      </c>
      <c r="E86" s="14" t="n">
        <v>496</v>
      </c>
      <c r="F86" s="10" t="n">
        <f aca="false">E86/'Correction factors'!$B$10</f>
        <v>40.0024</v>
      </c>
      <c r="G86" s="11" t="n">
        <v>510</v>
      </c>
    </row>
    <row r="87" customFormat="false" ht="15" hidden="false" customHeight="false" outlineLevel="0" collapsed="false">
      <c r="A87" s="10" t="n">
        <v>18.6335399150848</v>
      </c>
      <c r="B87" s="11" t="n">
        <v>500</v>
      </c>
      <c r="C87" s="12" t="n">
        <f aca="false">B87*'Correction factors'!$B$7</f>
        <v>2419.5</v>
      </c>
      <c r="D87" s="13" t="n">
        <v>2.266986</v>
      </c>
      <c r="E87" s="14" t="n">
        <v>480</v>
      </c>
      <c r="F87" s="10" t="n">
        <f aca="false">E87/'Correction factors'!$B$10</f>
        <v>38.712</v>
      </c>
      <c r="G87" s="11" t="n">
        <v>510</v>
      </c>
    </row>
    <row r="88" customFormat="false" ht="15" hidden="false" customHeight="false" outlineLevel="0" collapsed="false">
      <c r="A88" s="10" t="n">
        <v>19.1059970855713</v>
      </c>
      <c r="B88" s="11" t="n">
        <v>500</v>
      </c>
      <c r="C88" s="12" t="n">
        <f aca="false">B88*'Correction factors'!$B$7</f>
        <v>2419.5</v>
      </c>
      <c r="D88" s="13" t="n">
        <v>2.257164</v>
      </c>
      <c r="E88" s="14" t="n">
        <v>488</v>
      </c>
      <c r="F88" s="10" t="n">
        <f aca="false">E88/'Correction factors'!$B$10</f>
        <v>39.3572</v>
      </c>
      <c r="G88" s="11" t="n">
        <v>510</v>
      </c>
    </row>
    <row r="89" customFormat="false" ht="15" hidden="false" customHeight="false" outlineLevel="0" collapsed="false">
      <c r="A89" s="10" t="n">
        <v>19.1059970855713</v>
      </c>
      <c r="B89" s="11" t="n">
        <v>520</v>
      </c>
      <c r="C89" s="12" t="n">
        <f aca="false">B89*'Correction factors'!$B$7</f>
        <v>2516.28</v>
      </c>
      <c r="D89" s="13" t="n">
        <v>2.247343</v>
      </c>
      <c r="E89" s="14" t="n">
        <v>488</v>
      </c>
      <c r="F89" s="10" t="n">
        <f aca="false">E89/'Correction factors'!$B$10</f>
        <v>39.3572</v>
      </c>
      <c r="G89" s="11" t="n">
        <v>510</v>
      </c>
    </row>
    <row r="90" customFormat="false" ht="15" hidden="false" customHeight="false" outlineLevel="0" collapsed="false">
      <c r="A90" s="10" t="n">
        <v>19.1059970855713</v>
      </c>
      <c r="B90" s="11" t="n">
        <v>520</v>
      </c>
      <c r="C90" s="12" t="n">
        <f aca="false">B90*'Correction factors'!$B$7</f>
        <v>2516.28</v>
      </c>
      <c r="D90" s="13" t="n">
        <v>2.247343</v>
      </c>
      <c r="E90" s="14" t="n">
        <v>480</v>
      </c>
      <c r="F90" s="10" t="n">
        <f aca="false">E90/'Correction factors'!$B$10</f>
        <v>38.712</v>
      </c>
      <c r="G90" s="11" t="n">
        <v>510</v>
      </c>
    </row>
    <row r="91" customFormat="false" ht="15" hidden="false" customHeight="false" outlineLevel="0" collapsed="false">
      <c r="A91" s="10" t="n">
        <v>19.6274030208588</v>
      </c>
      <c r="B91" s="11" t="n">
        <v>500</v>
      </c>
      <c r="C91" s="12" t="n">
        <f aca="false">B91*'Correction factors'!$B$7</f>
        <v>2419.5</v>
      </c>
      <c r="D91" s="13" t="n">
        <v>2.227699</v>
      </c>
      <c r="E91" s="14" t="n">
        <v>480</v>
      </c>
      <c r="F91" s="10" t="n">
        <f aca="false">E91/'Correction factors'!$B$10</f>
        <v>38.712</v>
      </c>
      <c r="G91" s="11" t="n">
        <v>510</v>
      </c>
    </row>
    <row r="92" customFormat="false" ht="15" hidden="false" customHeight="false" outlineLevel="0" collapsed="false">
      <c r="A92" s="10" t="n">
        <v>19.6274030208588</v>
      </c>
      <c r="B92" s="11" t="n">
        <v>480</v>
      </c>
      <c r="C92" s="12" t="n">
        <f aca="false">B92*'Correction factors'!$B$7</f>
        <v>2322.72</v>
      </c>
      <c r="D92" s="13" t="n">
        <v>2.217878</v>
      </c>
      <c r="E92" s="14" t="n">
        <v>480</v>
      </c>
      <c r="F92" s="10" t="n">
        <f aca="false">E92/'Correction factors'!$B$10</f>
        <v>38.712</v>
      </c>
      <c r="G92" s="11" t="n">
        <v>510</v>
      </c>
    </row>
    <row r="93" customFormat="false" ht="15" hidden="false" customHeight="false" outlineLevel="0" collapsed="false">
      <c r="A93" s="10" t="n">
        <v>20.157418012619</v>
      </c>
      <c r="B93" s="11" t="n">
        <v>480</v>
      </c>
      <c r="C93" s="12" t="n">
        <f aca="false">B93*'Correction factors'!$B$7</f>
        <v>2322.72</v>
      </c>
      <c r="D93" s="13" t="n">
        <v>2.208056</v>
      </c>
      <c r="E93" s="14" t="n">
        <v>472</v>
      </c>
      <c r="F93" s="10" t="n">
        <f aca="false">E93/'Correction factors'!$B$10</f>
        <v>38.0668</v>
      </c>
      <c r="G93" s="11" t="n">
        <v>510</v>
      </c>
    </row>
    <row r="94" customFormat="false" ht="15" hidden="false" customHeight="false" outlineLevel="0" collapsed="false">
      <c r="A94" s="10" t="n">
        <v>20.157418012619</v>
      </c>
      <c r="B94" s="11" t="n">
        <v>480</v>
      </c>
      <c r="C94" s="12" t="n">
        <f aca="false">B94*'Correction factors'!$B$7</f>
        <v>2322.72</v>
      </c>
      <c r="D94" s="13" t="n">
        <v>2.198235</v>
      </c>
      <c r="E94" s="14" t="n">
        <v>472</v>
      </c>
      <c r="F94" s="10" t="n">
        <f aca="false">E94/'Correction factors'!$B$10</f>
        <v>38.0668</v>
      </c>
      <c r="G94" s="11" t="n">
        <v>510</v>
      </c>
    </row>
    <row r="95" customFormat="false" ht="15" hidden="false" customHeight="false" outlineLevel="0" collapsed="false">
      <c r="A95" s="10" t="n">
        <v>20.157418012619</v>
      </c>
      <c r="B95" s="11" t="n">
        <v>500</v>
      </c>
      <c r="C95" s="12" t="n">
        <f aca="false">B95*'Correction factors'!$B$7</f>
        <v>2419.5</v>
      </c>
      <c r="D95" s="13" t="n">
        <v>2.198235</v>
      </c>
      <c r="E95" s="14" t="n">
        <v>472</v>
      </c>
      <c r="F95" s="10" t="n">
        <f aca="false">E95/'Correction factors'!$B$10</f>
        <v>38.0668</v>
      </c>
      <c r="G95" s="11" t="n">
        <v>510</v>
      </c>
    </row>
    <row r="96" customFormat="false" ht="15" hidden="false" customHeight="false" outlineLevel="0" collapsed="false">
      <c r="A96" s="10" t="n">
        <v>20.6558275222778</v>
      </c>
      <c r="B96" s="11" t="n">
        <v>500</v>
      </c>
      <c r="C96" s="12" t="n">
        <f aca="false">B96*'Correction factors'!$B$7</f>
        <v>2419.5</v>
      </c>
      <c r="D96" s="13" t="n">
        <v>2.178591</v>
      </c>
      <c r="E96" s="14" t="n">
        <v>472</v>
      </c>
      <c r="F96" s="10" t="n">
        <f aca="false">E96/'Correction factors'!$B$10</f>
        <v>38.0668</v>
      </c>
      <c r="G96" s="11" t="n">
        <v>510</v>
      </c>
    </row>
    <row r="97" customFormat="false" ht="15" hidden="false" customHeight="false" outlineLevel="0" collapsed="false">
      <c r="A97" s="10" t="n">
        <v>20.6558275222778</v>
      </c>
      <c r="B97" s="11" t="n">
        <v>480</v>
      </c>
      <c r="C97" s="12" t="n">
        <f aca="false">B97*'Correction factors'!$B$7</f>
        <v>2322.72</v>
      </c>
      <c r="D97" s="13" t="n">
        <v>2.16877</v>
      </c>
      <c r="E97" s="14" t="n">
        <v>464</v>
      </c>
      <c r="F97" s="10" t="n">
        <f aca="false">E97/'Correction factors'!$B$10</f>
        <v>37.4216</v>
      </c>
      <c r="G97" s="11" t="n">
        <v>510</v>
      </c>
    </row>
    <row r="98" customFormat="false" ht="15" hidden="false" customHeight="false" outlineLevel="0" collapsed="false">
      <c r="A98" s="10" t="n">
        <v>21.1292805671692</v>
      </c>
      <c r="B98" s="11" t="n">
        <v>460</v>
      </c>
      <c r="C98" s="12" t="n">
        <f aca="false">B98*'Correction factors'!$B$7</f>
        <v>2225.94</v>
      </c>
      <c r="D98" s="13" t="n">
        <v>2.16877</v>
      </c>
      <c r="E98" s="14" t="n">
        <v>464</v>
      </c>
      <c r="F98" s="10" t="n">
        <f aca="false">E98/'Correction factors'!$B$10</f>
        <v>37.4216</v>
      </c>
      <c r="G98" s="11" t="n">
        <v>510</v>
      </c>
    </row>
    <row r="99" customFormat="false" ht="15" hidden="false" customHeight="false" outlineLevel="0" collapsed="false">
      <c r="A99" s="10" t="n">
        <v>21.1292805671692</v>
      </c>
      <c r="B99" s="11" t="n">
        <v>460</v>
      </c>
      <c r="C99" s="12" t="n">
        <f aca="false">B99*'Correction factors'!$B$7</f>
        <v>2225.94</v>
      </c>
      <c r="D99" s="13" t="n">
        <v>2.158948</v>
      </c>
      <c r="E99" s="14" t="n">
        <v>464</v>
      </c>
      <c r="F99" s="10" t="n">
        <f aca="false">E99/'Correction factors'!$B$10</f>
        <v>37.4216</v>
      </c>
      <c r="G99" s="11" t="n">
        <v>510</v>
      </c>
    </row>
    <row r="100" customFormat="false" ht="15" hidden="false" customHeight="false" outlineLevel="0" collapsed="false">
      <c r="A100" s="10" t="n">
        <v>21.1292805671692</v>
      </c>
      <c r="B100" s="11" t="n">
        <v>460</v>
      </c>
      <c r="C100" s="12" t="n">
        <f aca="false">B100*'Correction factors'!$B$7</f>
        <v>2225.94</v>
      </c>
      <c r="D100" s="13" t="n">
        <v>2.158948</v>
      </c>
      <c r="E100" s="14" t="n">
        <v>464</v>
      </c>
      <c r="F100" s="10" t="n">
        <f aca="false">E100/'Correction factors'!$B$10</f>
        <v>37.4216</v>
      </c>
      <c r="G100" s="11" t="n">
        <v>510</v>
      </c>
    </row>
    <row r="101" customFormat="false" ht="15" hidden="false" customHeight="false" outlineLevel="0" collapsed="false">
      <c r="A101" s="10" t="n">
        <v>21.6576671600342</v>
      </c>
      <c r="B101" s="11" t="n">
        <v>460</v>
      </c>
      <c r="C101" s="12" t="n">
        <f aca="false">B101*'Correction factors'!$B$7</f>
        <v>2225.94</v>
      </c>
      <c r="D101" s="13" t="n">
        <v>2.149127</v>
      </c>
      <c r="E101" s="14" t="n">
        <v>456</v>
      </c>
      <c r="F101" s="10" t="n">
        <f aca="false">E101/'Correction factors'!$B$10</f>
        <v>36.7764</v>
      </c>
      <c r="G101" s="11" t="n">
        <v>510</v>
      </c>
    </row>
    <row r="102" customFormat="false" ht="15" hidden="false" customHeight="false" outlineLevel="0" collapsed="false">
      <c r="A102" s="10" t="n">
        <v>21.6576671600342</v>
      </c>
      <c r="B102" s="11" t="n">
        <v>460</v>
      </c>
      <c r="C102" s="12" t="n">
        <f aca="false">B102*'Correction factors'!$B$7</f>
        <v>2225.94</v>
      </c>
      <c r="D102" s="13" t="n">
        <v>2.139305</v>
      </c>
      <c r="E102" s="14" t="n">
        <v>464</v>
      </c>
      <c r="F102" s="10" t="n">
        <f aca="false">E102/'Correction factors'!$B$10</f>
        <v>37.4216</v>
      </c>
      <c r="G102" s="11" t="n">
        <v>510</v>
      </c>
    </row>
    <row r="103" customFormat="false" ht="15" hidden="false" customHeight="false" outlineLevel="0" collapsed="false">
      <c r="A103" s="10" t="n">
        <v>22.1316831111908</v>
      </c>
      <c r="B103" s="11" t="n">
        <v>460</v>
      </c>
      <c r="C103" s="12" t="n">
        <f aca="false">B103*'Correction factors'!$B$7</f>
        <v>2225.94</v>
      </c>
      <c r="D103" s="13" t="n">
        <v>2.139305</v>
      </c>
      <c r="E103" s="14" t="n">
        <v>456</v>
      </c>
      <c r="F103" s="10" t="n">
        <f aca="false">E103/'Correction factors'!$B$10</f>
        <v>36.7764</v>
      </c>
      <c r="G103" s="11" t="n">
        <v>510</v>
      </c>
    </row>
    <row r="104" customFormat="false" ht="15" hidden="false" customHeight="false" outlineLevel="0" collapsed="false">
      <c r="A104" s="10" t="n">
        <v>22.1316831111908</v>
      </c>
      <c r="B104" s="11" t="n">
        <v>460</v>
      </c>
      <c r="C104" s="12" t="n">
        <f aca="false">B104*'Correction factors'!$B$7</f>
        <v>2225.94</v>
      </c>
      <c r="D104" s="13" t="n">
        <v>2.129483</v>
      </c>
      <c r="E104" s="14" t="n">
        <v>456</v>
      </c>
      <c r="F104" s="10" t="n">
        <f aca="false">E104/'Correction factors'!$B$10</f>
        <v>36.7764</v>
      </c>
      <c r="G104" s="11" t="n">
        <v>510</v>
      </c>
    </row>
    <row r="105" customFormat="false" ht="15" hidden="false" customHeight="false" outlineLevel="0" collapsed="false">
      <c r="A105" s="10" t="n">
        <v>22.606819152832</v>
      </c>
      <c r="B105" s="11" t="n">
        <v>460</v>
      </c>
      <c r="C105" s="12" t="n">
        <f aca="false">B105*'Correction factors'!$B$7</f>
        <v>2225.94</v>
      </c>
      <c r="D105" s="13" t="n">
        <v>2.119662</v>
      </c>
      <c r="E105" s="14" t="n">
        <v>464</v>
      </c>
      <c r="F105" s="10" t="n">
        <f aca="false">E105/'Correction factors'!$B$10</f>
        <v>37.4216</v>
      </c>
      <c r="G105" s="11" t="n">
        <v>510</v>
      </c>
    </row>
    <row r="106" customFormat="false" ht="15" hidden="false" customHeight="false" outlineLevel="0" collapsed="false">
      <c r="A106" s="10" t="n">
        <v>22.606819152832</v>
      </c>
      <c r="B106" s="11" t="n">
        <v>440</v>
      </c>
      <c r="C106" s="12" t="n">
        <f aca="false">B106*'Correction factors'!$B$7</f>
        <v>2129.16</v>
      </c>
      <c r="D106" s="13" t="n">
        <v>2.10984</v>
      </c>
      <c r="E106" s="14" t="n">
        <v>456</v>
      </c>
      <c r="F106" s="10" t="n">
        <f aca="false">E106/'Correction factors'!$B$10</f>
        <v>36.7764</v>
      </c>
      <c r="G106" s="11" t="n">
        <v>510</v>
      </c>
    </row>
    <row r="107" customFormat="false" ht="15" hidden="false" customHeight="false" outlineLevel="0" collapsed="false">
      <c r="A107" s="10" t="n">
        <v>22.606819152832</v>
      </c>
      <c r="B107" s="11" t="n">
        <v>440</v>
      </c>
      <c r="C107" s="12" t="n">
        <f aca="false">B107*'Correction factors'!$B$7</f>
        <v>2129.16</v>
      </c>
      <c r="D107" s="13" t="n">
        <v>2.100019</v>
      </c>
      <c r="E107" s="14" t="n">
        <v>448</v>
      </c>
      <c r="F107" s="10" t="n">
        <f aca="false">E107/'Correction factors'!$B$10</f>
        <v>36.1312</v>
      </c>
      <c r="G107" s="11" t="n">
        <v>510</v>
      </c>
    </row>
    <row r="108" customFormat="false" ht="15" hidden="false" customHeight="false" outlineLevel="0" collapsed="false">
      <c r="A108" s="10" t="n">
        <v>23.0980591773987</v>
      </c>
      <c r="B108" s="11" t="n">
        <v>440</v>
      </c>
      <c r="C108" s="12" t="n">
        <f aca="false">B108*'Correction factors'!$B$7</f>
        <v>2129.16</v>
      </c>
      <c r="D108" s="13" t="n">
        <v>2.10984</v>
      </c>
      <c r="E108" s="14" t="n">
        <v>464</v>
      </c>
      <c r="F108" s="10" t="n">
        <f aca="false">E108/'Correction factors'!$B$10</f>
        <v>37.4216</v>
      </c>
      <c r="G108" s="11" t="n">
        <v>510</v>
      </c>
    </row>
    <row r="109" customFormat="false" ht="15" hidden="false" customHeight="false" outlineLevel="0" collapsed="false">
      <c r="A109" s="10" t="n">
        <v>23.0980591773987</v>
      </c>
      <c r="B109" s="11" t="n">
        <v>440</v>
      </c>
      <c r="C109" s="12" t="n">
        <f aca="false">B109*'Correction factors'!$B$7</f>
        <v>2129.16</v>
      </c>
      <c r="D109" s="13" t="n">
        <v>2.100019</v>
      </c>
      <c r="E109" s="14" t="n">
        <v>456</v>
      </c>
      <c r="F109" s="10" t="n">
        <f aca="false">E109/'Correction factors'!$B$10</f>
        <v>36.7764</v>
      </c>
      <c r="G109" s="11" t="n">
        <v>510</v>
      </c>
    </row>
    <row r="110" customFormat="false" ht="15" hidden="false" customHeight="false" outlineLevel="0" collapsed="false">
      <c r="A110" s="10" t="n">
        <v>23.5370926856995</v>
      </c>
      <c r="B110" s="11" t="n">
        <v>440</v>
      </c>
      <c r="C110" s="12" t="n">
        <f aca="false">B110*'Correction factors'!$B$7</f>
        <v>2129.16</v>
      </c>
      <c r="D110" s="13" t="n">
        <v>2.100019</v>
      </c>
      <c r="E110" s="14" t="n">
        <v>448</v>
      </c>
      <c r="F110" s="10" t="n">
        <f aca="false">E110/'Correction factors'!$B$10</f>
        <v>36.1312</v>
      </c>
      <c r="G110" s="11" t="n">
        <v>510</v>
      </c>
    </row>
    <row r="111" customFormat="false" ht="15" hidden="false" customHeight="false" outlineLevel="0" collapsed="false">
      <c r="A111" s="10" t="n">
        <v>23.5370926856995</v>
      </c>
      <c r="B111" s="11" t="n">
        <v>440</v>
      </c>
      <c r="C111" s="12" t="n">
        <f aca="false">B111*'Correction factors'!$B$7</f>
        <v>2129.16</v>
      </c>
      <c r="D111" s="13" t="n">
        <v>2.090197</v>
      </c>
      <c r="E111" s="14" t="n">
        <v>456</v>
      </c>
      <c r="F111" s="10" t="n">
        <f aca="false">E111/'Correction factors'!$B$10</f>
        <v>36.7764</v>
      </c>
      <c r="G111" s="11" t="n">
        <v>510</v>
      </c>
    </row>
    <row r="112" customFormat="false" ht="15" hidden="false" customHeight="false" outlineLevel="0" collapsed="false">
      <c r="A112" s="10" t="n">
        <v>23.9600083827972</v>
      </c>
      <c r="B112" s="11" t="n">
        <v>440</v>
      </c>
      <c r="C112" s="12" t="n">
        <f aca="false">B112*'Correction factors'!$B$7</f>
        <v>2129.16</v>
      </c>
      <c r="D112" s="13" t="n">
        <v>2.090197</v>
      </c>
      <c r="E112" s="14" t="n">
        <v>448</v>
      </c>
      <c r="F112" s="10" t="n">
        <f aca="false">E112/'Correction factors'!$B$10</f>
        <v>36.1312</v>
      </c>
      <c r="G112" s="11" t="n">
        <v>510</v>
      </c>
    </row>
    <row r="113" customFormat="false" ht="15" hidden="false" customHeight="false" outlineLevel="0" collapsed="false">
      <c r="A113" s="10" t="n">
        <v>23.9600083827972</v>
      </c>
      <c r="B113" s="11" t="n">
        <v>440</v>
      </c>
      <c r="C113" s="12" t="n">
        <f aca="false">B113*'Correction factors'!$B$7</f>
        <v>2129.16</v>
      </c>
      <c r="D113" s="13" t="n">
        <v>2.100019</v>
      </c>
      <c r="E113" s="14" t="n">
        <v>448</v>
      </c>
      <c r="F113" s="10" t="n">
        <f aca="false">E113/'Correction factors'!$B$10</f>
        <v>36.1312</v>
      </c>
      <c r="G113" s="11" t="n">
        <v>510</v>
      </c>
    </row>
    <row r="114" customFormat="false" ht="15" hidden="false" customHeight="false" outlineLevel="0" collapsed="false">
      <c r="A114" s="10" t="n">
        <v>24.3991632461548</v>
      </c>
      <c r="B114" s="11" t="n">
        <v>440</v>
      </c>
      <c r="C114" s="12" t="n">
        <f aca="false">B114*'Correction factors'!$B$7</f>
        <v>2129.16</v>
      </c>
      <c r="D114" s="13" t="n">
        <v>2.090197</v>
      </c>
      <c r="E114" s="14" t="n">
        <v>448</v>
      </c>
      <c r="F114" s="10" t="n">
        <f aca="false">E114/'Correction factors'!$B$10</f>
        <v>36.1312</v>
      </c>
      <c r="G114" s="11" t="n">
        <v>510</v>
      </c>
    </row>
    <row r="115" customFormat="false" ht="15" hidden="false" customHeight="false" outlineLevel="0" collapsed="false">
      <c r="A115" s="10" t="n">
        <v>24.3991632461548</v>
      </c>
      <c r="B115" s="11" t="n">
        <v>420</v>
      </c>
      <c r="C115" s="12" t="n">
        <f aca="false">B115*'Correction factors'!$B$7</f>
        <v>2032.38</v>
      </c>
      <c r="D115" s="13" t="n">
        <v>2.080375</v>
      </c>
      <c r="E115" s="14" t="n">
        <v>448</v>
      </c>
      <c r="F115" s="10" t="n">
        <f aca="false">E115/'Correction factors'!$B$10</f>
        <v>36.1312</v>
      </c>
      <c r="G115" s="11" t="n">
        <v>510</v>
      </c>
    </row>
    <row r="116" customFormat="false" ht="15" hidden="false" customHeight="false" outlineLevel="0" collapsed="false">
      <c r="A116" s="10" t="n">
        <v>24.8688871860504</v>
      </c>
      <c r="B116" s="11" t="n">
        <v>440</v>
      </c>
      <c r="C116" s="12" t="n">
        <f aca="false">B116*'Correction factors'!$B$7</f>
        <v>2129.16</v>
      </c>
      <c r="D116" s="13" t="n">
        <v>2.080375</v>
      </c>
      <c r="E116" s="14" t="n">
        <v>448</v>
      </c>
      <c r="F116" s="10" t="n">
        <f aca="false">E116/'Correction factors'!$B$10</f>
        <v>36.1312</v>
      </c>
      <c r="G116" s="11" t="n">
        <v>510</v>
      </c>
    </row>
    <row r="117" customFormat="false" ht="15" hidden="false" customHeight="false" outlineLevel="0" collapsed="false">
      <c r="A117" s="10" t="n">
        <v>24.8688871860504</v>
      </c>
      <c r="B117" s="11" t="n">
        <v>420</v>
      </c>
      <c r="C117" s="12" t="n">
        <f aca="false">B117*'Correction factors'!$B$7</f>
        <v>2032.38</v>
      </c>
      <c r="D117" s="13" t="n">
        <v>2.070554</v>
      </c>
      <c r="E117" s="14" t="n">
        <v>440</v>
      </c>
      <c r="F117" s="10" t="n">
        <f aca="false">E117/'Correction factors'!$B$10</f>
        <v>35.486</v>
      </c>
      <c r="G117" s="11" t="n">
        <v>510</v>
      </c>
    </row>
    <row r="118" customFormat="false" ht="15" hidden="false" customHeight="false" outlineLevel="0" collapsed="false">
      <c r="A118" s="10" t="n">
        <v>24.8688871860504</v>
      </c>
      <c r="B118" s="11" t="n">
        <v>420</v>
      </c>
      <c r="C118" s="12" t="n">
        <f aca="false">B118*'Correction factors'!$B$7</f>
        <v>2032.38</v>
      </c>
      <c r="D118" s="13" t="n">
        <v>2.070554</v>
      </c>
      <c r="E118" s="14" t="n">
        <v>440</v>
      </c>
      <c r="F118" s="10" t="n">
        <f aca="false">E118/'Correction factors'!$B$10</f>
        <v>35.486</v>
      </c>
      <c r="G118" s="11" t="n">
        <v>510</v>
      </c>
    </row>
    <row r="119" customFormat="false" ht="15" hidden="false" customHeight="false" outlineLevel="0" collapsed="false">
      <c r="A119" s="10" t="n">
        <v>25.3411045074463</v>
      </c>
      <c r="B119" s="11" t="n">
        <v>420</v>
      </c>
      <c r="C119" s="12" t="n">
        <f aca="false">B119*'Correction factors'!$B$7</f>
        <v>2032.38</v>
      </c>
      <c r="D119" s="13" t="n">
        <v>2.070554</v>
      </c>
      <c r="E119" s="14" t="n">
        <v>448</v>
      </c>
      <c r="F119" s="10" t="n">
        <f aca="false">E119/'Correction factors'!$B$10</f>
        <v>36.1312</v>
      </c>
      <c r="G119" s="11" t="n">
        <v>510</v>
      </c>
    </row>
    <row r="120" customFormat="false" ht="15" hidden="false" customHeight="false" outlineLevel="0" collapsed="false">
      <c r="A120" s="10" t="n">
        <v>25.3411045074463</v>
      </c>
      <c r="B120" s="11" t="n">
        <v>420</v>
      </c>
      <c r="C120" s="12" t="n">
        <f aca="false">B120*'Correction factors'!$B$7</f>
        <v>2032.38</v>
      </c>
      <c r="D120" s="13" t="n">
        <v>2.060732</v>
      </c>
      <c r="E120" s="14" t="n">
        <v>440</v>
      </c>
      <c r="F120" s="10" t="n">
        <f aca="false">E120/'Correction factors'!$B$10</f>
        <v>35.486</v>
      </c>
      <c r="G120" s="11" t="n">
        <v>510</v>
      </c>
    </row>
    <row r="121" customFormat="false" ht="15" hidden="false" customHeight="false" outlineLevel="0" collapsed="false">
      <c r="A121" s="10" t="n">
        <v>25.7967219352722</v>
      </c>
      <c r="B121" s="11" t="n">
        <v>420</v>
      </c>
      <c r="C121" s="12" t="n">
        <f aca="false">B121*'Correction factors'!$B$7</f>
        <v>2032.38</v>
      </c>
      <c r="D121" s="13" t="n">
        <v>2.070554</v>
      </c>
      <c r="E121" s="14" t="n">
        <v>448</v>
      </c>
      <c r="F121" s="10" t="n">
        <f aca="false">E121/'Correction factors'!$B$10</f>
        <v>36.1312</v>
      </c>
      <c r="G121" s="11" t="n">
        <v>510</v>
      </c>
    </row>
    <row r="122" customFormat="false" ht="15" hidden="false" customHeight="false" outlineLevel="0" collapsed="false">
      <c r="A122" s="10" t="n">
        <v>25.7967219352722</v>
      </c>
      <c r="B122" s="11" t="n">
        <v>440</v>
      </c>
      <c r="C122" s="12" t="n">
        <f aca="false">B122*'Correction factors'!$B$7</f>
        <v>2129.16</v>
      </c>
      <c r="D122" s="13" t="n">
        <v>2.060732</v>
      </c>
      <c r="E122" s="14" t="n">
        <v>440</v>
      </c>
      <c r="F122" s="10" t="n">
        <f aca="false">E122/'Correction factors'!$B$10</f>
        <v>35.486</v>
      </c>
      <c r="G122" s="11" t="n">
        <v>510</v>
      </c>
    </row>
    <row r="123" customFormat="false" ht="15" hidden="false" customHeight="false" outlineLevel="0" collapsed="false">
      <c r="A123" s="10" t="n">
        <v>26.2481055259705</v>
      </c>
      <c r="B123" s="11" t="n">
        <v>440</v>
      </c>
      <c r="C123" s="12" t="n">
        <f aca="false">B123*'Correction factors'!$B$7</f>
        <v>2129.16</v>
      </c>
      <c r="D123" s="13" t="n">
        <v>2.060732</v>
      </c>
      <c r="E123" s="14" t="n">
        <v>432</v>
      </c>
      <c r="F123" s="10" t="n">
        <f aca="false">E123/'Correction factors'!$B$10</f>
        <v>34.8408</v>
      </c>
      <c r="G123" s="11" t="n">
        <v>510</v>
      </c>
    </row>
    <row r="124" customFormat="false" ht="15" hidden="false" customHeight="false" outlineLevel="0" collapsed="false">
      <c r="A124" s="10" t="n">
        <v>26.2481055259705</v>
      </c>
      <c r="B124" s="11" t="n">
        <v>440</v>
      </c>
      <c r="C124" s="12" t="n">
        <f aca="false">B124*'Correction factors'!$B$7</f>
        <v>2129.16</v>
      </c>
      <c r="D124" s="13" t="n">
        <v>2.060732</v>
      </c>
      <c r="E124" s="14" t="n">
        <v>440</v>
      </c>
      <c r="F124" s="10" t="n">
        <f aca="false">E124/'Correction factors'!$B$10</f>
        <v>35.486</v>
      </c>
      <c r="G124" s="11" t="n">
        <v>510</v>
      </c>
    </row>
    <row r="125" customFormat="false" ht="15" hidden="false" customHeight="false" outlineLevel="0" collapsed="false">
      <c r="A125" s="10" t="n">
        <v>26.6891937255859</v>
      </c>
      <c r="B125" s="11" t="n">
        <v>420</v>
      </c>
      <c r="C125" s="12" t="n">
        <f aca="false">B125*'Correction factors'!$B$7</f>
        <v>2032.38</v>
      </c>
      <c r="D125" s="13" t="n">
        <v>2.041089</v>
      </c>
      <c r="E125" s="14" t="n">
        <v>432</v>
      </c>
      <c r="F125" s="10" t="n">
        <f aca="false">E125/'Correction factors'!$B$10</f>
        <v>34.8408</v>
      </c>
      <c r="G125" s="11" t="n">
        <v>510</v>
      </c>
    </row>
    <row r="126" customFormat="false" ht="15" hidden="false" customHeight="false" outlineLevel="0" collapsed="false">
      <c r="A126" s="10" t="n">
        <v>26.6891937255859</v>
      </c>
      <c r="B126" s="11" t="n">
        <v>440</v>
      </c>
      <c r="C126" s="12" t="n">
        <f aca="false">B126*'Correction factors'!$B$7</f>
        <v>2129.16</v>
      </c>
      <c r="D126" s="13" t="n">
        <v>2.05091</v>
      </c>
      <c r="E126" s="14" t="n">
        <v>432</v>
      </c>
      <c r="F126" s="10" t="n">
        <f aca="false">E126/'Correction factors'!$B$10</f>
        <v>34.8408</v>
      </c>
      <c r="G126" s="11" t="n">
        <v>510</v>
      </c>
    </row>
    <row r="127" customFormat="false" ht="15" hidden="false" customHeight="false" outlineLevel="0" collapsed="false">
      <c r="A127" s="10" t="n">
        <v>27.1398167610169</v>
      </c>
      <c r="B127" s="11" t="n">
        <v>440</v>
      </c>
      <c r="C127" s="12" t="n">
        <f aca="false">B127*'Correction factors'!$B$7</f>
        <v>2129.16</v>
      </c>
      <c r="D127" s="13" t="n">
        <v>2.041089</v>
      </c>
      <c r="E127" s="14" t="n">
        <v>424</v>
      </c>
      <c r="F127" s="10" t="n">
        <f aca="false">E127/'Correction factors'!$B$10</f>
        <v>34.1956</v>
      </c>
      <c r="G127" s="11" t="n">
        <v>510</v>
      </c>
    </row>
    <row r="128" customFormat="false" ht="15" hidden="false" customHeight="false" outlineLevel="0" collapsed="false">
      <c r="A128" s="10" t="n">
        <v>27.1398167610169</v>
      </c>
      <c r="B128" s="11" t="n">
        <v>420</v>
      </c>
      <c r="C128" s="12" t="n">
        <f aca="false">B128*'Correction factors'!$B$7</f>
        <v>2032.38</v>
      </c>
      <c r="D128" s="13" t="n">
        <v>2.031268</v>
      </c>
      <c r="E128" s="14" t="n">
        <v>432</v>
      </c>
      <c r="F128" s="10" t="n">
        <f aca="false">E128/'Correction factors'!$B$10</f>
        <v>34.8408</v>
      </c>
      <c r="G128" s="11" t="n">
        <v>510</v>
      </c>
    </row>
    <row r="129" customFormat="false" ht="15" hidden="false" customHeight="false" outlineLevel="0" collapsed="false">
      <c r="A129" s="10" t="n">
        <v>27.1398167610169</v>
      </c>
      <c r="B129" s="11" t="n">
        <v>440</v>
      </c>
      <c r="C129" s="12" t="n">
        <f aca="false">B129*'Correction factors'!$B$7</f>
        <v>2129.16</v>
      </c>
      <c r="D129" s="13" t="n">
        <v>2.031268</v>
      </c>
      <c r="E129" s="14" t="n">
        <v>432</v>
      </c>
      <c r="F129" s="10" t="n">
        <f aca="false">E129/'Correction factors'!$B$10</f>
        <v>34.8408</v>
      </c>
      <c r="G129" s="11" t="n">
        <v>510</v>
      </c>
    </row>
    <row r="130" customFormat="false" ht="15" hidden="false" customHeight="false" outlineLevel="0" collapsed="false">
      <c r="A130" s="10" t="n">
        <v>27.64817237854</v>
      </c>
      <c r="B130" s="11" t="n">
        <v>420</v>
      </c>
      <c r="C130" s="12" t="n">
        <f aca="false">B130*'Correction factors'!$B$7</f>
        <v>2032.38</v>
      </c>
      <c r="D130" s="13" t="n">
        <v>2.031268</v>
      </c>
      <c r="E130" s="14" t="n">
        <v>432</v>
      </c>
      <c r="F130" s="10" t="n">
        <f aca="false">E130/'Correction factors'!$B$10</f>
        <v>34.8408</v>
      </c>
      <c r="G130" s="11" t="n">
        <v>510</v>
      </c>
    </row>
    <row r="131" customFormat="false" ht="15" hidden="false" customHeight="false" outlineLevel="0" collapsed="false">
      <c r="A131" s="10" t="n">
        <v>27.64817237854</v>
      </c>
      <c r="B131" s="11" t="n">
        <v>420</v>
      </c>
      <c r="C131" s="12" t="n">
        <f aca="false">B131*'Correction factors'!$B$7</f>
        <v>2032.38</v>
      </c>
      <c r="D131" s="13" t="n">
        <v>2.031268</v>
      </c>
      <c r="E131" s="14" t="n">
        <v>432</v>
      </c>
      <c r="F131" s="10" t="n">
        <f aca="false">E131/'Correction factors'!$B$10</f>
        <v>34.8408</v>
      </c>
      <c r="G131" s="11" t="n">
        <v>510</v>
      </c>
    </row>
    <row r="132" customFormat="false" ht="15" hidden="false" customHeight="false" outlineLevel="0" collapsed="false">
      <c r="A132" s="10" t="n">
        <v>28.0957174301148</v>
      </c>
      <c r="B132" s="11" t="n">
        <v>440</v>
      </c>
      <c r="C132" s="12" t="n">
        <f aca="false">B132*'Correction factors'!$B$7</f>
        <v>2129.16</v>
      </c>
      <c r="D132" s="13" t="n">
        <v>2.021446</v>
      </c>
      <c r="E132" s="14" t="n">
        <v>424</v>
      </c>
      <c r="F132" s="10" t="n">
        <f aca="false">E132/'Correction factors'!$B$10</f>
        <v>34.1956</v>
      </c>
      <c r="G132" s="11" t="n">
        <v>510</v>
      </c>
    </row>
    <row r="133" customFormat="false" ht="15" hidden="false" customHeight="false" outlineLevel="0" collapsed="false">
      <c r="A133" s="10" t="n">
        <v>28.0957174301148</v>
      </c>
      <c r="B133" s="11" t="n">
        <v>440</v>
      </c>
      <c r="C133" s="12" t="n">
        <f aca="false">B133*'Correction factors'!$B$7</f>
        <v>2129.16</v>
      </c>
      <c r="D133" s="13" t="n">
        <v>2.021446</v>
      </c>
      <c r="E133" s="14" t="n">
        <v>424</v>
      </c>
      <c r="F133" s="10" t="n">
        <f aca="false">E133/'Correction factors'!$B$10</f>
        <v>34.1956</v>
      </c>
      <c r="G133" s="11" t="n">
        <v>510</v>
      </c>
    </row>
    <row r="134" customFormat="false" ht="15" hidden="false" customHeight="false" outlineLevel="0" collapsed="false">
      <c r="A134" s="10" t="n">
        <v>28.5470583438873</v>
      </c>
      <c r="B134" s="11" t="n">
        <v>420</v>
      </c>
      <c r="C134" s="12" t="n">
        <f aca="false">B134*'Correction factors'!$B$7</f>
        <v>2032.38</v>
      </c>
      <c r="D134" s="13" t="n">
        <v>2.021446</v>
      </c>
      <c r="E134" s="14" t="n">
        <v>424</v>
      </c>
      <c r="F134" s="10" t="n">
        <f aca="false">E134/'Correction factors'!$B$10</f>
        <v>34.1956</v>
      </c>
      <c r="G134" s="11" t="n">
        <v>510</v>
      </c>
    </row>
    <row r="135" customFormat="false" ht="15" hidden="false" customHeight="false" outlineLevel="0" collapsed="false">
      <c r="A135" s="10" t="n">
        <v>28.5470583438873</v>
      </c>
      <c r="B135" s="11" t="n">
        <v>420</v>
      </c>
      <c r="C135" s="12" t="n">
        <f aca="false">B135*'Correction factors'!$B$7</f>
        <v>2032.38</v>
      </c>
      <c r="D135" s="13" t="n">
        <v>2.011624</v>
      </c>
      <c r="E135" s="14" t="n">
        <v>424</v>
      </c>
      <c r="F135" s="10" t="n">
        <f aca="false">E135/'Correction factors'!$B$10</f>
        <v>34.1956</v>
      </c>
      <c r="G135" s="11" t="n">
        <v>510</v>
      </c>
    </row>
    <row r="136" customFormat="false" ht="15" hidden="false" customHeight="false" outlineLevel="0" collapsed="false">
      <c r="A136" s="10" t="n">
        <v>29.034476518631</v>
      </c>
      <c r="B136" s="11" t="n">
        <v>420</v>
      </c>
      <c r="C136" s="12" t="n">
        <f aca="false">B136*'Correction factors'!$B$7</f>
        <v>2032.38</v>
      </c>
      <c r="D136" s="13" t="n">
        <v>2.011624</v>
      </c>
      <c r="E136" s="14" t="n">
        <v>432</v>
      </c>
      <c r="F136" s="10" t="n">
        <f aca="false">E136/'Correction factors'!$B$10</f>
        <v>34.8408</v>
      </c>
      <c r="G136" s="11" t="n">
        <v>510</v>
      </c>
    </row>
    <row r="137" customFormat="false" ht="15" hidden="false" customHeight="false" outlineLevel="0" collapsed="false">
      <c r="A137" s="10" t="n">
        <v>29.034476518631</v>
      </c>
      <c r="B137" s="11" t="n">
        <v>420</v>
      </c>
      <c r="C137" s="12" t="n">
        <f aca="false">B137*'Correction factors'!$B$7</f>
        <v>2032.38</v>
      </c>
      <c r="D137" s="13" t="n">
        <v>2.001803</v>
      </c>
      <c r="E137" s="14" t="n">
        <v>424</v>
      </c>
      <c r="F137" s="10" t="n">
        <f aca="false">E137/'Correction factors'!$B$10</f>
        <v>34.1956</v>
      </c>
      <c r="G137" s="11" t="n">
        <v>510</v>
      </c>
    </row>
    <row r="138" customFormat="false" ht="15" hidden="false" customHeight="false" outlineLevel="0" collapsed="false">
      <c r="A138" s="10" t="n">
        <v>29.034476518631</v>
      </c>
      <c r="B138" s="11" t="n">
        <v>420</v>
      </c>
      <c r="C138" s="12" t="n">
        <f aca="false">B138*'Correction factors'!$B$7</f>
        <v>2032.38</v>
      </c>
      <c r="D138" s="13" t="n">
        <v>2.011624</v>
      </c>
      <c r="E138" s="14" t="n">
        <v>424</v>
      </c>
      <c r="F138" s="10" t="n">
        <f aca="false">E138/'Correction factors'!$B$10</f>
        <v>34.1956</v>
      </c>
      <c r="G138" s="11" t="n">
        <v>510</v>
      </c>
    </row>
    <row r="139" customFormat="false" ht="15" hidden="false" customHeight="false" outlineLevel="0" collapsed="false">
      <c r="A139" s="10" t="n">
        <v>29.5181818008423</v>
      </c>
      <c r="B139" s="11" t="n">
        <v>440</v>
      </c>
      <c r="C139" s="12" t="n">
        <f aca="false">B139*'Correction factors'!$B$7</f>
        <v>2129.16</v>
      </c>
      <c r="D139" s="13" t="n">
        <v>1.991981</v>
      </c>
      <c r="E139" s="14" t="n">
        <v>416</v>
      </c>
      <c r="F139" s="10" t="n">
        <f aca="false">E139/'Correction factors'!$B$10</f>
        <v>33.5504</v>
      </c>
      <c r="G139" s="11" t="n">
        <v>510</v>
      </c>
    </row>
    <row r="140" customFormat="false" ht="15" hidden="false" customHeight="false" outlineLevel="0" collapsed="false">
      <c r="A140" s="10" t="n">
        <v>29.5181818008423</v>
      </c>
      <c r="B140" s="11" t="n">
        <v>420</v>
      </c>
      <c r="C140" s="12" t="n">
        <f aca="false">B140*'Correction factors'!$B$7</f>
        <v>2032.38</v>
      </c>
      <c r="D140" s="13" t="n">
        <v>1.991981</v>
      </c>
      <c r="E140" s="14" t="n">
        <v>424</v>
      </c>
      <c r="F140" s="10" t="n">
        <f aca="false">E140/'Correction factors'!$B$10</f>
        <v>34.1956</v>
      </c>
      <c r="G140" s="11" t="n">
        <v>510</v>
      </c>
    </row>
    <row r="141" customFormat="false" ht="15" hidden="false" customHeight="false" outlineLevel="0" collapsed="false">
      <c r="A141" s="10" t="n">
        <v>29.9610390663147</v>
      </c>
      <c r="B141" s="11" t="n">
        <v>400</v>
      </c>
      <c r="C141" s="12" t="n">
        <f aca="false">B141*'Correction factors'!$B$7</f>
        <v>1935.6</v>
      </c>
      <c r="D141" s="13" t="n">
        <v>1.98216</v>
      </c>
      <c r="E141" s="14" t="n">
        <v>424</v>
      </c>
      <c r="F141" s="10" t="n">
        <f aca="false">E141/'Correction factors'!$B$10</f>
        <v>34.1956</v>
      </c>
      <c r="G141" s="11" t="n">
        <v>510</v>
      </c>
    </row>
    <row r="142" customFormat="false" ht="15" hidden="false" customHeight="false" outlineLevel="0" collapsed="false">
      <c r="A142" s="10" t="n">
        <v>29.9610390663147</v>
      </c>
      <c r="B142" s="11" t="n">
        <v>420</v>
      </c>
      <c r="C142" s="12" t="n">
        <f aca="false">B142*'Correction factors'!$B$7</f>
        <v>2032.38</v>
      </c>
      <c r="D142" s="13" t="n">
        <v>1.98216</v>
      </c>
      <c r="E142" s="14" t="n">
        <v>416</v>
      </c>
      <c r="F142" s="10" t="n">
        <f aca="false">E142/'Correction factors'!$B$10</f>
        <v>33.5504</v>
      </c>
      <c r="G142" s="11" t="n">
        <v>510</v>
      </c>
    </row>
    <row r="143" customFormat="false" ht="15" hidden="false" customHeight="false" outlineLevel="0" collapsed="false">
      <c r="A143" s="10" t="n">
        <v>30.4290404319763</v>
      </c>
      <c r="B143" s="11" t="n">
        <v>420</v>
      </c>
      <c r="C143" s="12" t="n">
        <f aca="false">B143*'Correction factors'!$B$7</f>
        <v>2032.38</v>
      </c>
      <c r="D143" s="13" t="n">
        <v>1.98216</v>
      </c>
      <c r="E143" s="14" t="n">
        <v>416</v>
      </c>
      <c r="F143" s="10" t="n">
        <f aca="false">E143/'Correction factors'!$B$10</f>
        <v>33.5504</v>
      </c>
      <c r="G143" s="11" t="n">
        <v>510</v>
      </c>
    </row>
    <row r="144" customFormat="false" ht="15" hidden="false" customHeight="false" outlineLevel="0" collapsed="false">
      <c r="A144" s="10" t="n">
        <v>30.4290404319763</v>
      </c>
      <c r="B144" s="11" t="n">
        <v>400</v>
      </c>
      <c r="C144" s="12" t="n">
        <f aca="false">B144*'Correction factors'!$B$7</f>
        <v>1935.6</v>
      </c>
      <c r="D144" s="13" t="n">
        <v>1.98216</v>
      </c>
      <c r="E144" s="14" t="n">
        <v>424</v>
      </c>
      <c r="F144" s="10" t="n">
        <f aca="false">E144/'Correction factors'!$B$10</f>
        <v>34.1956</v>
      </c>
      <c r="G144" s="11" t="n">
        <v>510</v>
      </c>
    </row>
    <row r="145" customFormat="false" ht="15" hidden="false" customHeight="false" outlineLevel="0" collapsed="false">
      <c r="A145" s="10" t="n">
        <v>30.905054807663</v>
      </c>
      <c r="B145" s="11" t="n">
        <v>420</v>
      </c>
      <c r="C145" s="12" t="n">
        <f aca="false">B145*'Correction factors'!$B$7</f>
        <v>2032.38</v>
      </c>
      <c r="D145" s="13" t="n">
        <v>1.98216</v>
      </c>
      <c r="E145" s="14" t="n">
        <v>416</v>
      </c>
      <c r="F145" s="10" t="n">
        <f aca="false">E145/'Correction factors'!$B$10</f>
        <v>33.5504</v>
      </c>
      <c r="G145" s="11" t="n">
        <v>510</v>
      </c>
    </row>
    <row r="146" customFormat="false" ht="15" hidden="false" customHeight="false" outlineLevel="0" collapsed="false">
      <c r="A146" s="10" t="n">
        <v>30.905054807663</v>
      </c>
      <c r="B146" s="11" t="n">
        <v>420</v>
      </c>
      <c r="C146" s="12" t="n">
        <f aca="false">B146*'Correction factors'!$B$7</f>
        <v>2032.38</v>
      </c>
      <c r="D146" s="13" t="n">
        <v>1.972338</v>
      </c>
      <c r="E146" s="14" t="n">
        <v>416</v>
      </c>
      <c r="F146" s="10" t="n">
        <f aca="false">E146/'Correction factors'!$B$10</f>
        <v>33.5504</v>
      </c>
      <c r="G146" s="11" t="n">
        <v>510</v>
      </c>
    </row>
    <row r="147" customFormat="false" ht="15" hidden="false" customHeight="false" outlineLevel="0" collapsed="false">
      <c r="A147" s="10" t="n">
        <v>30.905054807663</v>
      </c>
      <c r="B147" s="11" t="n">
        <v>400</v>
      </c>
      <c r="C147" s="12" t="n">
        <f aca="false">B147*'Correction factors'!$B$7</f>
        <v>1935.6</v>
      </c>
      <c r="D147" s="13" t="n">
        <v>1.962516</v>
      </c>
      <c r="E147" s="14" t="n">
        <v>408</v>
      </c>
      <c r="F147" s="10" t="n">
        <f aca="false">E147/'Correction factors'!$B$10</f>
        <v>32.9052</v>
      </c>
      <c r="G147" s="11" t="n">
        <v>510</v>
      </c>
    </row>
    <row r="148" customFormat="false" ht="15" hidden="false" customHeight="false" outlineLevel="0" collapsed="false">
      <c r="A148" s="10" t="n">
        <v>31.4051327705383</v>
      </c>
      <c r="B148" s="11" t="n">
        <v>400</v>
      </c>
      <c r="C148" s="12" t="n">
        <f aca="false">B148*'Correction factors'!$B$7</f>
        <v>1935.6</v>
      </c>
      <c r="D148" s="13" t="n">
        <v>1.962516</v>
      </c>
      <c r="E148" s="14" t="n">
        <v>416</v>
      </c>
      <c r="F148" s="10" t="n">
        <f aca="false">E148/'Correction factors'!$B$10</f>
        <v>33.5504</v>
      </c>
      <c r="G148" s="11" t="n">
        <v>510</v>
      </c>
    </row>
    <row r="149" customFormat="false" ht="15" hidden="false" customHeight="false" outlineLevel="0" collapsed="false">
      <c r="A149" s="10" t="n">
        <v>31.4051327705383</v>
      </c>
      <c r="B149" s="11" t="n">
        <v>400</v>
      </c>
      <c r="C149" s="12" t="n">
        <f aca="false">B149*'Correction factors'!$B$7</f>
        <v>1935.6</v>
      </c>
      <c r="D149" s="13" t="n">
        <v>1.952695</v>
      </c>
      <c r="E149" s="14" t="n">
        <v>416</v>
      </c>
      <c r="F149" s="10" t="n">
        <f aca="false">E149/'Correction factors'!$B$10</f>
        <v>33.5504</v>
      </c>
      <c r="G149" s="11" t="n">
        <v>510</v>
      </c>
    </row>
    <row r="150" customFormat="false" ht="15" hidden="false" customHeight="false" outlineLevel="0" collapsed="false">
      <c r="A150" s="10" t="n">
        <v>31.8707008361816</v>
      </c>
      <c r="B150" s="11" t="n">
        <v>400</v>
      </c>
      <c r="C150" s="12" t="n">
        <f aca="false">B150*'Correction factors'!$B$7</f>
        <v>1935.6</v>
      </c>
      <c r="D150" s="13" t="n">
        <v>1.962516</v>
      </c>
      <c r="E150" s="14" t="n">
        <v>416</v>
      </c>
      <c r="F150" s="10" t="n">
        <f aca="false">E150/'Correction factors'!$B$10</f>
        <v>33.5504</v>
      </c>
      <c r="G150" s="11" t="n">
        <v>510</v>
      </c>
    </row>
    <row r="151" customFormat="false" ht="15" hidden="false" customHeight="false" outlineLevel="0" collapsed="false">
      <c r="A151" s="10" t="n">
        <v>31.8707008361816</v>
      </c>
      <c r="B151" s="11" t="n">
        <v>400</v>
      </c>
      <c r="C151" s="12" t="n">
        <f aca="false">B151*'Correction factors'!$B$7</f>
        <v>1935.6</v>
      </c>
      <c r="D151" s="13" t="n">
        <v>1.962516</v>
      </c>
      <c r="E151" s="14" t="n">
        <v>408</v>
      </c>
      <c r="F151" s="10" t="n">
        <f aca="false">E151/'Correction factors'!$B$10</f>
        <v>32.9052</v>
      </c>
      <c r="G151" s="11" t="n">
        <v>510</v>
      </c>
    </row>
    <row r="152" customFormat="false" ht="15" hidden="false" customHeight="false" outlineLevel="0" collapsed="false">
      <c r="A152" s="10" t="n">
        <v>32.3382744789124</v>
      </c>
      <c r="B152" s="11" t="n">
        <v>400</v>
      </c>
      <c r="C152" s="12" t="n">
        <f aca="false">B152*'Correction factors'!$B$7</f>
        <v>1935.6</v>
      </c>
      <c r="D152" s="13" t="n">
        <v>1.952695</v>
      </c>
      <c r="E152" s="14" t="n">
        <v>416</v>
      </c>
      <c r="F152" s="10" t="n">
        <f aca="false">E152/'Correction factors'!$B$10</f>
        <v>33.5504</v>
      </c>
      <c r="G152" s="11" t="n">
        <v>510</v>
      </c>
    </row>
    <row r="153" customFormat="false" ht="15" hidden="false" customHeight="false" outlineLevel="0" collapsed="false">
      <c r="A153" s="10" t="n">
        <v>32.3382744789124</v>
      </c>
      <c r="B153" s="11" t="n">
        <v>400</v>
      </c>
      <c r="C153" s="12" t="n">
        <f aca="false">B153*'Correction factors'!$B$7</f>
        <v>1935.6</v>
      </c>
      <c r="D153" s="13" t="n">
        <v>1.952695</v>
      </c>
      <c r="E153" s="14" t="n">
        <v>408</v>
      </c>
      <c r="F153" s="10" t="n">
        <f aca="false">E153/'Correction factors'!$B$10</f>
        <v>32.9052</v>
      </c>
      <c r="G153" s="11" t="n">
        <v>510</v>
      </c>
    </row>
    <row r="154" customFormat="false" ht="15" hidden="false" customHeight="false" outlineLevel="0" collapsed="false">
      <c r="A154" s="10" t="n">
        <v>32.3382744789124</v>
      </c>
      <c r="B154" s="11" t="n">
        <v>380</v>
      </c>
      <c r="C154" s="12" t="n">
        <f aca="false">B154*'Correction factors'!$B$7</f>
        <v>1838.82</v>
      </c>
      <c r="D154" s="13" t="n">
        <v>1.942873</v>
      </c>
      <c r="E154" s="14" t="n">
        <v>408</v>
      </c>
      <c r="F154" s="10" t="n">
        <f aca="false">E154/'Correction factors'!$B$10</f>
        <v>32.9052</v>
      </c>
      <c r="G154" s="11" t="n">
        <v>510</v>
      </c>
    </row>
    <row r="155" customFormat="false" ht="15" hidden="false" customHeight="false" outlineLevel="0" collapsed="false">
      <c r="A155" s="10" t="n">
        <v>32.8394577503204</v>
      </c>
      <c r="B155" s="11" t="n">
        <v>400</v>
      </c>
      <c r="C155" s="12" t="n">
        <f aca="false">B155*'Correction factors'!$B$7</f>
        <v>1935.6</v>
      </c>
      <c r="D155" s="13" t="n">
        <v>1.942873</v>
      </c>
      <c r="E155" s="14" t="n">
        <v>408</v>
      </c>
      <c r="F155" s="10" t="n">
        <f aca="false">E155/'Correction factors'!$B$10</f>
        <v>32.9052</v>
      </c>
      <c r="G155" s="11" t="n">
        <v>510</v>
      </c>
    </row>
    <row r="156" customFormat="false" ht="15" hidden="false" customHeight="false" outlineLevel="0" collapsed="false">
      <c r="A156" s="10" t="n">
        <v>32.8394577503204</v>
      </c>
      <c r="B156" s="11" t="n">
        <v>400</v>
      </c>
      <c r="C156" s="12" t="n">
        <f aca="false">B156*'Correction factors'!$B$7</f>
        <v>1935.6</v>
      </c>
      <c r="D156" s="13" t="n">
        <v>1.933052</v>
      </c>
      <c r="E156" s="14" t="n">
        <v>400</v>
      </c>
      <c r="F156" s="10" t="n">
        <f aca="false">E156/'Correction factors'!$B$10</f>
        <v>32.26</v>
      </c>
      <c r="G156" s="11" t="n">
        <v>510</v>
      </c>
    </row>
    <row r="157" customFormat="false" ht="15" hidden="false" customHeight="false" outlineLevel="0" collapsed="false">
      <c r="A157" s="10" t="n">
        <v>33.2933068275452</v>
      </c>
      <c r="B157" s="11" t="n">
        <v>400</v>
      </c>
      <c r="C157" s="12" t="n">
        <f aca="false">B157*'Correction factors'!$B$7</f>
        <v>1935.6</v>
      </c>
      <c r="D157" s="13" t="n">
        <v>1.933052</v>
      </c>
      <c r="E157" s="14" t="n">
        <v>408</v>
      </c>
      <c r="F157" s="10" t="n">
        <f aca="false">E157/'Correction factors'!$B$10</f>
        <v>32.9052</v>
      </c>
      <c r="G157" s="11" t="n">
        <v>510</v>
      </c>
    </row>
    <row r="158" customFormat="false" ht="15" hidden="false" customHeight="false" outlineLevel="0" collapsed="false">
      <c r="A158" s="10" t="n">
        <v>33.2933068275452</v>
      </c>
      <c r="B158" s="11" t="n">
        <v>400</v>
      </c>
      <c r="C158" s="12" t="n">
        <f aca="false">B158*'Correction factors'!$B$7</f>
        <v>1935.6</v>
      </c>
      <c r="D158" s="13" t="n">
        <v>1.92323</v>
      </c>
      <c r="E158" s="14" t="n">
        <v>400</v>
      </c>
      <c r="F158" s="10" t="n">
        <f aca="false">E158/'Correction factors'!$B$10</f>
        <v>32.26</v>
      </c>
      <c r="G158" s="11" t="n">
        <v>510</v>
      </c>
    </row>
    <row r="159" customFormat="false" ht="15" hidden="false" customHeight="false" outlineLevel="0" collapsed="false">
      <c r="A159" s="10" t="n">
        <v>33.7939009666443</v>
      </c>
      <c r="B159" s="11" t="n">
        <v>380</v>
      </c>
      <c r="C159" s="12" t="n">
        <f aca="false">B159*'Correction factors'!$B$7</f>
        <v>1838.82</v>
      </c>
      <c r="D159" s="13" t="n">
        <v>1.933052</v>
      </c>
      <c r="E159" s="14" t="n">
        <v>400</v>
      </c>
      <c r="F159" s="10" t="n">
        <f aca="false">E159/'Correction factors'!$B$10</f>
        <v>32.26</v>
      </c>
      <c r="G159" s="11" t="n">
        <v>510</v>
      </c>
    </row>
    <row r="160" customFormat="false" ht="15" hidden="false" customHeight="false" outlineLevel="0" collapsed="false">
      <c r="A160" s="10" t="n">
        <v>33.7939009666443</v>
      </c>
      <c r="B160" s="11" t="n">
        <v>380</v>
      </c>
      <c r="C160" s="12" t="n">
        <f aca="false">B160*'Correction factors'!$B$7</f>
        <v>1838.82</v>
      </c>
      <c r="D160" s="13" t="n">
        <v>1.913408</v>
      </c>
      <c r="E160" s="14" t="n">
        <v>400</v>
      </c>
      <c r="F160" s="10" t="n">
        <f aca="false">E160/'Correction factors'!$B$10</f>
        <v>32.26</v>
      </c>
      <c r="G160" s="11" t="n">
        <v>510</v>
      </c>
    </row>
    <row r="161" customFormat="false" ht="15" hidden="false" customHeight="false" outlineLevel="0" collapsed="false">
      <c r="A161" s="10" t="n">
        <v>33.7939009666443</v>
      </c>
      <c r="B161" s="11" t="n">
        <v>380</v>
      </c>
      <c r="C161" s="12" t="n">
        <f aca="false">B161*'Correction factors'!$B$7</f>
        <v>1838.82</v>
      </c>
      <c r="D161" s="13" t="n">
        <v>1.92323</v>
      </c>
      <c r="E161" s="14" t="n">
        <v>400</v>
      </c>
      <c r="F161" s="10" t="n">
        <f aca="false">E161/'Correction factors'!$B$10</f>
        <v>32.26</v>
      </c>
      <c r="G161" s="11" t="n">
        <v>510</v>
      </c>
    </row>
    <row r="162" customFormat="false" ht="15" hidden="false" customHeight="false" outlineLevel="0" collapsed="false">
      <c r="A162" s="10" t="n">
        <v>34.2940292358398</v>
      </c>
      <c r="B162" s="11" t="n">
        <v>400</v>
      </c>
      <c r="C162" s="12" t="n">
        <f aca="false">B162*'Correction factors'!$B$7</f>
        <v>1935.6</v>
      </c>
      <c r="D162" s="13" t="n">
        <v>1.92323</v>
      </c>
      <c r="E162" s="14" t="n">
        <v>400</v>
      </c>
      <c r="F162" s="10" t="n">
        <f aca="false">E162/'Correction factors'!$B$10</f>
        <v>32.26</v>
      </c>
      <c r="G162" s="11" t="n">
        <v>510</v>
      </c>
    </row>
    <row r="163" customFormat="false" ht="15" hidden="false" customHeight="false" outlineLevel="0" collapsed="false">
      <c r="A163" s="10" t="n">
        <v>34.2940292358398</v>
      </c>
      <c r="B163" s="11" t="n">
        <v>380</v>
      </c>
      <c r="C163" s="12" t="n">
        <f aca="false">B163*'Correction factors'!$B$7</f>
        <v>1838.82</v>
      </c>
      <c r="D163" s="13" t="n">
        <v>1.92323</v>
      </c>
      <c r="E163" s="14" t="n">
        <v>400</v>
      </c>
      <c r="F163" s="10" t="n">
        <f aca="false">E163/'Correction factors'!$B$10</f>
        <v>32.26</v>
      </c>
      <c r="G163" s="11" t="n">
        <v>510</v>
      </c>
    </row>
    <row r="164" customFormat="false" ht="15" hidden="false" customHeight="false" outlineLevel="0" collapsed="false">
      <c r="A164" s="10" t="n">
        <v>34.7547063827515</v>
      </c>
      <c r="B164" s="11" t="n">
        <v>380</v>
      </c>
      <c r="C164" s="12" t="n">
        <f aca="false">B164*'Correction factors'!$B$7</f>
        <v>1838.82</v>
      </c>
      <c r="D164" s="13" t="n">
        <v>1.913408</v>
      </c>
      <c r="E164" s="14" t="n">
        <v>400</v>
      </c>
      <c r="F164" s="10" t="n">
        <f aca="false">E164/'Correction factors'!$B$10</f>
        <v>32.26</v>
      </c>
      <c r="G164" s="11" t="n">
        <v>510</v>
      </c>
    </row>
    <row r="165" customFormat="false" ht="15" hidden="false" customHeight="false" outlineLevel="0" collapsed="false">
      <c r="A165" s="10" t="n">
        <v>34.7547063827515</v>
      </c>
      <c r="B165" s="11" t="n">
        <v>380</v>
      </c>
      <c r="C165" s="12" t="n">
        <f aca="false">B165*'Correction factors'!$B$7</f>
        <v>1838.82</v>
      </c>
      <c r="D165" s="13" t="n">
        <v>1.913408</v>
      </c>
      <c r="E165" s="14" t="n">
        <v>392</v>
      </c>
      <c r="F165" s="10" t="n">
        <f aca="false">E165/'Correction factors'!$B$10</f>
        <v>31.6148</v>
      </c>
      <c r="G165" s="11" t="n">
        <v>510</v>
      </c>
    </row>
    <row r="166" customFormat="false" ht="15" hidden="false" customHeight="false" outlineLevel="0" collapsed="false">
      <c r="A166" s="10" t="n">
        <v>35.2058501243591</v>
      </c>
      <c r="B166" s="11" t="n">
        <v>380</v>
      </c>
      <c r="C166" s="12" t="n">
        <f aca="false">B166*'Correction factors'!$B$7</f>
        <v>1838.82</v>
      </c>
      <c r="D166" s="13" t="n">
        <v>1.913408</v>
      </c>
      <c r="E166" s="14" t="n">
        <v>400</v>
      </c>
      <c r="F166" s="10" t="n">
        <f aca="false">E166/'Correction factors'!$B$10</f>
        <v>32.26</v>
      </c>
      <c r="G166" s="11" t="n">
        <v>510</v>
      </c>
    </row>
    <row r="167" customFormat="false" ht="15" hidden="false" customHeight="false" outlineLevel="0" collapsed="false">
      <c r="A167" s="10" t="n">
        <v>35.2058501243591</v>
      </c>
      <c r="B167" s="11" t="n">
        <v>380</v>
      </c>
      <c r="C167" s="12" t="n">
        <f aca="false">B167*'Correction factors'!$B$7</f>
        <v>1838.82</v>
      </c>
      <c r="D167" s="13" t="n">
        <v>1.903587</v>
      </c>
      <c r="E167" s="14" t="n">
        <v>392</v>
      </c>
      <c r="F167" s="10" t="n">
        <f aca="false">E167/'Correction factors'!$B$10</f>
        <v>31.6148</v>
      </c>
      <c r="G167" s="11" t="n">
        <v>510</v>
      </c>
    </row>
    <row r="168" customFormat="false" ht="15" hidden="false" customHeight="false" outlineLevel="0" collapsed="false">
      <c r="A168" s="10" t="n">
        <v>35.6682238578796</v>
      </c>
      <c r="B168" s="11" t="n">
        <v>380</v>
      </c>
      <c r="C168" s="12" t="n">
        <f aca="false">B168*'Correction factors'!$B$7</f>
        <v>1838.82</v>
      </c>
      <c r="D168" s="13" t="n">
        <v>1.893765</v>
      </c>
      <c r="E168" s="14" t="n">
        <v>400</v>
      </c>
      <c r="F168" s="10" t="n">
        <f aca="false">E168/'Correction factors'!$B$10</f>
        <v>32.26</v>
      </c>
      <c r="G168" s="11" t="n">
        <v>510</v>
      </c>
    </row>
    <row r="169" customFormat="false" ht="15" hidden="false" customHeight="false" outlineLevel="0" collapsed="false">
      <c r="A169" s="10" t="n">
        <v>35.6682238578796</v>
      </c>
      <c r="B169" s="11" t="n">
        <v>380</v>
      </c>
      <c r="C169" s="12" t="n">
        <f aca="false">B169*'Correction factors'!$B$7</f>
        <v>1838.82</v>
      </c>
      <c r="D169" s="13" t="n">
        <v>1.893765</v>
      </c>
      <c r="E169" s="14" t="n">
        <v>392</v>
      </c>
      <c r="F169" s="10" t="n">
        <f aca="false">E169/'Correction factors'!$B$10</f>
        <v>31.6148</v>
      </c>
      <c r="G169" s="11" t="n">
        <v>510</v>
      </c>
    </row>
    <row r="170" customFormat="false" ht="15" hidden="false" customHeight="false" outlineLevel="0" collapsed="false">
      <c r="A170" s="10" t="n">
        <v>35.6682238578796</v>
      </c>
      <c r="B170" s="11" t="n">
        <v>380</v>
      </c>
      <c r="C170" s="12" t="n">
        <f aca="false">B170*'Correction factors'!$B$7</f>
        <v>1838.82</v>
      </c>
      <c r="D170" s="13" t="n">
        <v>1.893765</v>
      </c>
      <c r="E170" s="14" t="n">
        <v>392</v>
      </c>
      <c r="F170" s="10" t="n">
        <f aca="false">E170/'Correction factors'!$B$10</f>
        <v>31.6148</v>
      </c>
      <c r="G170" s="11" t="n">
        <v>510</v>
      </c>
    </row>
    <row r="171" customFormat="false" ht="15" hidden="false" customHeight="false" outlineLevel="0" collapsed="false">
      <c r="A171" s="10" t="n">
        <v>36.1864604949951</v>
      </c>
      <c r="B171" s="11" t="n">
        <v>380</v>
      </c>
      <c r="C171" s="12" t="n">
        <f aca="false">B171*'Correction factors'!$B$7</f>
        <v>1838.82</v>
      </c>
      <c r="D171" s="13" t="n">
        <v>1.893765</v>
      </c>
      <c r="E171" s="14" t="n">
        <v>392</v>
      </c>
      <c r="F171" s="10" t="n">
        <f aca="false">E171/'Correction factors'!$B$10</f>
        <v>31.6148</v>
      </c>
      <c r="G171" s="11" t="n">
        <v>510</v>
      </c>
    </row>
    <row r="172" customFormat="false" ht="15" hidden="false" customHeight="false" outlineLevel="0" collapsed="false">
      <c r="A172" s="10" t="n">
        <v>36.1864604949951</v>
      </c>
      <c r="B172" s="11" t="n">
        <v>380</v>
      </c>
      <c r="C172" s="12" t="n">
        <f aca="false">B172*'Correction factors'!$B$7</f>
        <v>1838.82</v>
      </c>
      <c r="D172" s="13" t="n">
        <v>1.883944</v>
      </c>
      <c r="E172" s="14" t="n">
        <v>392</v>
      </c>
      <c r="F172" s="10" t="n">
        <f aca="false">E172/'Correction factors'!$B$10</f>
        <v>31.6148</v>
      </c>
      <c r="G172" s="11" t="n">
        <v>510</v>
      </c>
    </row>
    <row r="173" customFormat="false" ht="15" hidden="false" customHeight="false" outlineLevel="0" collapsed="false">
      <c r="A173" s="10" t="n">
        <v>36.6676671504974</v>
      </c>
      <c r="B173" s="11" t="n">
        <v>380</v>
      </c>
      <c r="C173" s="12" t="n">
        <f aca="false">B173*'Correction factors'!$B$7</f>
        <v>1838.82</v>
      </c>
      <c r="D173" s="13" t="n">
        <v>1.883944</v>
      </c>
      <c r="E173" s="14" t="n">
        <v>392</v>
      </c>
      <c r="F173" s="10" t="n">
        <f aca="false">E173/'Correction factors'!$B$10</f>
        <v>31.6148</v>
      </c>
      <c r="G173" s="11" t="n">
        <v>510</v>
      </c>
    </row>
    <row r="174" customFormat="false" ht="15" hidden="false" customHeight="false" outlineLevel="0" collapsed="false">
      <c r="A174" s="10" t="n">
        <v>36.6676671504974</v>
      </c>
      <c r="B174" s="11" t="n">
        <v>360</v>
      </c>
      <c r="C174" s="12" t="n">
        <f aca="false">B174*'Correction factors'!$B$7</f>
        <v>1742.04</v>
      </c>
      <c r="D174" s="13" t="n">
        <v>1.874122</v>
      </c>
      <c r="E174" s="14" t="n">
        <v>392</v>
      </c>
      <c r="F174" s="10" t="n">
        <f aca="false">E174/'Correction factors'!$B$10</f>
        <v>31.6148</v>
      </c>
      <c r="G174" s="11" t="n">
        <v>510</v>
      </c>
    </row>
    <row r="175" customFormat="false" ht="15" hidden="false" customHeight="false" outlineLevel="0" collapsed="false">
      <c r="A175" s="10" t="n">
        <v>37.1398940086365</v>
      </c>
      <c r="B175" s="11" t="n">
        <v>360</v>
      </c>
      <c r="C175" s="12" t="n">
        <f aca="false">B175*'Correction factors'!$B$7</f>
        <v>1742.04</v>
      </c>
      <c r="D175" s="13" t="n">
        <v>1.883944</v>
      </c>
      <c r="E175" s="14" t="n">
        <v>392</v>
      </c>
      <c r="F175" s="10" t="n">
        <f aca="false">E175/'Correction factors'!$B$10</f>
        <v>31.6148</v>
      </c>
      <c r="G175" s="11" t="n">
        <v>510</v>
      </c>
    </row>
    <row r="176" customFormat="false" ht="15" hidden="false" customHeight="false" outlineLevel="0" collapsed="false">
      <c r="A176" s="10" t="n">
        <v>37.1398940086365</v>
      </c>
      <c r="B176" s="11" t="n">
        <v>360</v>
      </c>
      <c r="C176" s="12" t="n">
        <f aca="false">B176*'Correction factors'!$B$7</f>
        <v>1742.04</v>
      </c>
      <c r="D176" s="13" t="n">
        <v>1.883944</v>
      </c>
      <c r="E176" s="14" t="n">
        <v>392</v>
      </c>
      <c r="F176" s="10" t="n">
        <f aca="false">E176/'Correction factors'!$B$10</f>
        <v>31.6148</v>
      </c>
      <c r="G176" s="11" t="n">
        <v>510</v>
      </c>
    </row>
    <row r="177" customFormat="false" ht="15" hidden="false" customHeight="false" outlineLevel="0" collapsed="false">
      <c r="A177" s="10" t="n">
        <v>37.1398940086365</v>
      </c>
      <c r="B177" s="11" t="n">
        <v>360</v>
      </c>
      <c r="C177" s="12" t="n">
        <f aca="false">B177*'Correction factors'!$B$7</f>
        <v>1742.04</v>
      </c>
      <c r="D177" s="13" t="n">
        <v>1.874122</v>
      </c>
      <c r="E177" s="14" t="n">
        <v>392</v>
      </c>
      <c r="F177" s="10" t="n">
        <f aca="false">E177/'Correction factors'!$B$10</f>
        <v>31.6148</v>
      </c>
      <c r="G177" s="11" t="n">
        <v>510</v>
      </c>
    </row>
    <row r="178" customFormat="false" ht="15" hidden="false" customHeight="false" outlineLevel="0" collapsed="false">
      <c r="A178" s="10" t="n">
        <v>37.6563980579376</v>
      </c>
      <c r="B178" s="11" t="n">
        <v>360</v>
      </c>
      <c r="C178" s="12" t="n">
        <f aca="false">B178*'Correction factors'!$B$7</f>
        <v>1742.04</v>
      </c>
      <c r="D178" s="13" t="n">
        <v>1.874122</v>
      </c>
      <c r="E178" s="14" t="n">
        <v>384</v>
      </c>
      <c r="F178" s="10" t="n">
        <f aca="false">E178/'Correction factors'!$B$10</f>
        <v>30.9696</v>
      </c>
      <c r="G178" s="11" t="n">
        <v>510</v>
      </c>
    </row>
    <row r="179" customFormat="false" ht="15" hidden="false" customHeight="false" outlineLevel="0" collapsed="false">
      <c r="A179" s="10" t="n">
        <v>37.6563980579376</v>
      </c>
      <c r="B179" s="11" t="n">
        <v>360</v>
      </c>
      <c r="C179" s="12" t="n">
        <f aca="false">B179*'Correction factors'!$B$7</f>
        <v>1742.04</v>
      </c>
      <c r="D179" s="13" t="n">
        <v>1.8643</v>
      </c>
      <c r="E179" s="14" t="n">
        <v>392</v>
      </c>
      <c r="F179" s="10" t="n">
        <f aca="false">E179/'Correction factors'!$B$10</f>
        <v>31.6148</v>
      </c>
      <c r="G179" s="11" t="n">
        <v>510</v>
      </c>
    </row>
    <row r="180" customFormat="false" ht="15" hidden="false" customHeight="false" outlineLevel="0" collapsed="false">
      <c r="A180" s="10" t="n">
        <v>38.1890594959259</v>
      </c>
      <c r="B180" s="11" t="n">
        <v>360</v>
      </c>
      <c r="C180" s="12" t="n">
        <f aca="false">B180*'Correction factors'!$B$7</f>
        <v>1742.04</v>
      </c>
      <c r="D180" s="13" t="n">
        <v>1.874122</v>
      </c>
      <c r="E180" s="14" t="n">
        <v>384</v>
      </c>
      <c r="F180" s="10" t="n">
        <f aca="false">E180/'Correction factors'!$B$10</f>
        <v>30.9696</v>
      </c>
      <c r="G180" s="11" t="n">
        <v>510</v>
      </c>
    </row>
    <row r="181" customFormat="false" ht="15" hidden="false" customHeight="false" outlineLevel="0" collapsed="false">
      <c r="A181" s="10" t="n">
        <v>38.1890594959259</v>
      </c>
      <c r="B181" s="11" t="n">
        <v>360</v>
      </c>
      <c r="C181" s="12" t="n">
        <f aca="false">B181*'Correction factors'!$B$7</f>
        <v>1742.04</v>
      </c>
      <c r="D181" s="13" t="n">
        <v>1.8643</v>
      </c>
      <c r="E181" s="14" t="n">
        <v>384</v>
      </c>
      <c r="F181" s="10" t="n">
        <f aca="false">E181/'Correction factors'!$B$10</f>
        <v>30.9696</v>
      </c>
      <c r="G181" s="11" t="n">
        <v>510</v>
      </c>
    </row>
    <row r="182" customFormat="false" ht="15" hidden="false" customHeight="false" outlineLevel="0" collapsed="false">
      <c r="A182" s="10" t="n">
        <v>38.1890594959259</v>
      </c>
      <c r="B182" s="11" t="n">
        <v>360</v>
      </c>
      <c r="C182" s="12" t="n">
        <f aca="false">B182*'Correction factors'!$B$7</f>
        <v>1742.04</v>
      </c>
      <c r="D182" s="13" t="n">
        <v>1.854479</v>
      </c>
      <c r="E182" s="14" t="n">
        <v>376</v>
      </c>
      <c r="F182" s="10" t="n">
        <f aca="false">E182/'Correction factors'!$B$10</f>
        <v>30.3244</v>
      </c>
      <c r="G182" s="11" t="n">
        <v>510</v>
      </c>
    </row>
    <row r="183" customFormat="false" ht="15" hidden="false" customHeight="false" outlineLevel="0" collapsed="false">
      <c r="A183" s="10" t="n">
        <v>38.6991875171661</v>
      </c>
      <c r="B183" s="11" t="n">
        <v>360</v>
      </c>
      <c r="C183" s="12" t="n">
        <f aca="false">B183*'Correction factors'!$B$7</f>
        <v>1742.04</v>
      </c>
      <c r="D183" s="13" t="n">
        <v>1.854479</v>
      </c>
      <c r="E183" s="14" t="n">
        <v>384</v>
      </c>
      <c r="F183" s="10" t="n">
        <f aca="false">E183/'Correction factors'!$B$10</f>
        <v>30.9696</v>
      </c>
      <c r="G183" s="11" t="n">
        <v>510</v>
      </c>
    </row>
    <row r="184" customFormat="false" ht="15" hidden="false" customHeight="false" outlineLevel="0" collapsed="false">
      <c r="A184" s="10" t="n">
        <v>38.6991875171661</v>
      </c>
      <c r="B184" s="11" t="n">
        <v>360</v>
      </c>
      <c r="C184" s="12" t="n">
        <f aca="false">B184*'Correction factors'!$B$7</f>
        <v>1742.04</v>
      </c>
      <c r="D184" s="13" t="n">
        <v>1.8643</v>
      </c>
      <c r="E184" s="14" t="n">
        <v>384</v>
      </c>
      <c r="F184" s="10" t="n">
        <f aca="false">E184/'Correction factors'!$B$10</f>
        <v>30.9696</v>
      </c>
      <c r="G184" s="11" t="n">
        <v>510</v>
      </c>
    </row>
    <row r="185" customFormat="false" ht="15" hidden="false" customHeight="false" outlineLevel="0" collapsed="false">
      <c r="A185" s="10" t="n">
        <v>39.1702311038971</v>
      </c>
      <c r="B185" s="11" t="n">
        <v>360</v>
      </c>
      <c r="C185" s="12" t="n">
        <f aca="false">B185*'Correction factors'!$B$7</f>
        <v>1742.04</v>
      </c>
      <c r="D185" s="13" t="n">
        <v>1.854479</v>
      </c>
      <c r="E185" s="14" t="n">
        <v>376</v>
      </c>
      <c r="F185" s="10" t="n">
        <f aca="false">E185/'Correction factors'!$B$10</f>
        <v>30.3244</v>
      </c>
      <c r="G185" s="11" t="n">
        <v>510</v>
      </c>
    </row>
    <row r="186" customFormat="false" ht="15" hidden="false" customHeight="false" outlineLevel="0" collapsed="false">
      <c r="A186" s="10" t="n">
        <v>39.1702311038971</v>
      </c>
      <c r="B186" s="11" t="n">
        <v>360</v>
      </c>
      <c r="C186" s="12" t="n">
        <f aca="false">B186*'Correction factors'!$B$7</f>
        <v>1742.04</v>
      </c>
      <c r="D186" s="13" t="n">
        <v>1.844657</v>
      </c>
      <c r="E186" s="14" t="n">
        <v>384</v>
      </c>
      <c r="F186" s="10" t="n">
        <f aca="false">E186/'Correction factors'!$B$10</f>
        <v>30.9696</v>
      </c>
      <c r="G186" s="11" t="n">
        <v>510</v>
      </c>
    </row>
    <row r="187" customFormat="false" ht="15" hidden="false" customHeight="false" outlineLevel="0" collapsed="false">
      <c r="A187" s="10" t="n">
        <v>39.1702311038971</v>
      </c>
      <c r="B187" s="11" t="n">
        <v>360</v>
      </c>
      <c r="C187" s="12" t="n">
        <f aca="false">B187*'Correction factors'!$B$7</f>
        <v>1742.04</v>
      </c>
      <c r="D187" s="13" t="n">
        <v>1.844657</v>
      </c>
      <c r="E187" s="14" t="n">
        <v>376</v>
      </c>
      <c r="F187" s="10" t="n">
        <f aca="false">E187/'Correction factors'!$B$10</f>
        <v>30.3244</v>
      </c>
      <c r="G187" s="11" t="n">
        <v>510</v>
      </c>
    </row>
    <row r="188" customFormat="false" ht="15" hidden="false" customHeight="false" outlineLevel="0" collapsed="false">
      <c r="A188" s="10" t="n">
        <v>39.7026391029358</v>
      </c>
      <c r="B188" s="11" t="n">
        <v>360</v>
      </c>
      <c r="C188" s="12" t="n">
        <f aca="false">B188*'Correction factors'!$B$7</f>
        <v>1742.04</v>
      </c>
      <c r="D188" s="13" t="n">
        <v>1.844657</v>
      </c>
      <c r="E188" s="14" t="n">
        <v>376</v>
      </c>
      <c r="F188" s="10" t="n">
        <f aca="false">E188/'Correction factors'!$B$10</f>
        <v>30.3244</v>
      </c>
      <c r="G188" s="11" t="n">
        <v>510</v>
      </c>
    </row>
    <row r="189" customFormat="false" ht="15" hidden="false" customHeight="false" outlineLevel="0" collapsed="false">
      <c r="A189" s="10" t="n">
        <v>39.7026391029358</v>
      </c>
      <c r="B189" s="11" t="n">
        <v>360</v>
      </c>
      <c r="C189" s="12" t="n">
        <f aca="false">B189*'Correction factors'!$B$7</f>
        <v>1742.04</v>
      </c>
      <c r="D189" s="13" t="n">
        <v>1.844657</v>
      </c>
      <c r="E189" s="14" t="n">
        <v>376</v>
      </c>
      <c r="F189" s="10" t="n">
        <f aca="false">E189/'Correction factors'!$B$10</f>
        <v>30.3244</v>
      </c>
      <c r="G189" s="11" t="n">
        <v>510</v>
      </c>
    </row>
    <row r="190" customFormat="false" ht="15" hidden="false" customHeight="false" outlineLevel="0" collapsed="false">
      <c r="A190" s="10" t="n">
        <v>40.1722693443298</v>
      </c>
      <c r="B190" s="11" t="n">
        <v>360</v>
      </c>
      <c r="C190" s="12" t="n">
        <f aca="false">B190*'Correction factors'!$B$7</f>
        <v>1742.04</v>
      </c>
      <c r="D190" s="13" t="n">
        <v>1.844657</v>
      </c>
      <c r="E190" s="14" t="n">
        <v>376</v>
      </c>
      <c r="F190" s="10" t="n">
        <f aca="false">E190/'Correction factors'!$B$10</f>
        <v>30.3244</v>
      </c>
      <c r="G190" s="11" t="n">
        <v>510</v>
      </c>
    </row>
    <row r="191" customFormat="false" ht="15" hidden="false" customHeight="false" outlineLevel="0" collapsed="false">
      <c r="A191" s="10" t="n">
        <v>40.1722693443298</v>
      </c>
      <c r="B191" s="11" t="n">
        <v>340</v>
      </c>
      <c r="C191" s="12" t="n">
        <f aca="false">B191*'Correction factors'!$B$7</f>
        <v>1645.26</v>
      </c>
      <c r="D191" s="13" t="n">
        <v>1.834836</v>
      </c>
      <c r="E191" s="14" t="n">
        <v>376</v>
      </c>
      <c r="F191" s="10" t="n">
        <f aca="false">E191/'Correction factors'!$B$10</f>
        <v>30.3244</v>
      </c>
      <c r="G191" s="11" t="n">
        <v>510</v>
      </c>
    </row>
    <row r="192" customFormat="false" ht="15" hidden="false" customHeight="false" outlineLevel="0" collapsed="false">
      <c r="A192" s="10" t="n">
        <v>40.641491651535</v>
      </c>
      <c r="B192" s="11" t="n">
        <v>340</v>
      </c>
      <c r="C192" s="12" t="n">
        <f aca="false">B192*'Correction factors'!$B$7</f>
        <v>1645.26</v>
      </c>
      <c r="D192" s="13" t="n">
        <v>1.834836</v>
      </c>
      <c r="E192" s="14" t="n">
        <v>376</v>
      </c>
      <c r="F192" s="10" t="n">
        <f aca="false">E192/'Correction factors'!$B$10</f>
        <v>30.3244</v>
      </c>
      <c r="G192" s="11" t="n">
        <v>510</v>
      </c>
    </row>
    <row r="193" customFormat="false" ht="15" hidden="false" customHeight="false" outlineLevel="0" collapsed="false">
      <c r="A193" s="10" t="n">
        <v>40.641491651535</v>
      </c>
      <c r="B193" s="11" t="n">
        <v>360</v>
      </c>
      <c r="C193" s="12" t="n">
        <f aca="false">B193*'Correction factors'!$B$7</f>
        <v>1742.04</v>
      </c>
      <c r="D193" s="13" t="n">
        <v>1.834836</v>
      </c>
      <c r="E193" s="14" t="n">
        <v>376</v>
      </c>
      <c r="F193" s="10" t="n">
        <f aca="false">E193/'Correction factors'!$B$10</f>
        <v>30.3244</v>
      </c>
      <c r="G193" s="11" t="n">
        <v>510</v>
      </c>
    </row>
    <row r="194" customFormat="false" ht="15" hidden="false" customHeight="false" outlineLevel="0" collapsed="false">
      <c r="A194" s="10" t="n">
        <v>40.641491651535</v>
      </c>
      <c r="B194" s="11" t="n">
        <v>360</v>
      </c>
      <c r="C194" s="12" t="n">
        <f aca="false">B194*'Correction factors'!$B$7</f>
        <v>1742.04</v>
      </c>
      <c r="D194" s="13" t="n">
        <v>1.834836</v>
      </c>
      <c r="E194" s="14" t="n">
        <v>368</v>
      </c>
      <c r="F194" s="10" t="n">
        <f aca="false">E194/'Correction factors'!$B$10</f>
        <v>29.6792</v>
      </c>
      <c r="G194" s="11" t="n">
        <v>510</v>
      </c>
    </row>
    <row r="195" customFormat="false" ht="15" hidden="false" customHeight="false" outlineLevel="0" collapsed="false">
      <c r="A195" s="10" t="n">
        <v>41.1467804908752</v>
      </c>
      <c r="B195" s="11" t="n">
        <v>360</v>
      </c>
      <c r="C195" s="12" t="n">
        <f aca="false">B195*'Correction factors'!$B$7</f>
        <v>1742.04</v>
      </c>
      <c r="D195" s="13" t="n">
        <v>1.825014</v>
      </c>
      <c r="E195" s="14" t="n">
        <v>376</v>
      </c>
      <c r="F195" s="10" t="n">
        <f aca="false">E195/'Correction factors'!$B$10</f>
        <v>30.3244</v>
      </c>
      <c r="G195" s="11" t="n">
        <v>510</v>
      </c>
    </row>
    <row r="196" customFormat="false" ht="15" hidden="false" customHeight="false" outlineLevel="0" collapsed="false">
      <c r="A196" s="10" t="n">
        <v>41.1467804908752</v>
      </c>
      <c r="B196" s="11" t="n">
        <v>360</v>
      </c>
      <c r="C196" s="12" t="n">
        <f aca="false">B196*'Correction factors'!$B$7</f>
        <v>1742.04</v>
      </c>
      <c r="D196" s="13" t="n">
        <v>1.825014</v>
      </c>
      <c r="E196" s="14" t="n">
        <v>368</v>
      </c>
      <c r="F196" s="10" t="n">
        <f aca="false">E196/'Correction factors'!$B$10</f>
        <v>29.6792</v>
      </c>
      <c r="G196" s="11" t="n">
        <v>510</v>
      </c>
    </row>
    <row r="197" customFormat="false" ht="15" hidden="false" customHeight="false" outlineLevel="0" collapsed="false">
      <c r="A197" s="10" t="n">
        <v>41.6057965755463</v>
      </c>
      <c r="B197" s="11" t="n">
        <v>360</v>
      </c>
      <c r="C197" s="12" t="n">
        <f aca="false">B197*'Correction factors'!$B$7</f>
        <v>1742.04</v>
      </c>
      <c r="D197" s="13" t="n">
        <v>1.825014</v>
      </c>
      <c r="E197" s="14" t="n">
        <v>368</v>
      </c>
      <c r="F197" s="10" t="n">
        <f aca="false">E197/'Correction factors'!$B$10</f>
        <v>29.6792</v>
      </c>
      <c r="G197" s="11" t="n">
        <v>510</v>
      </c>
    </row>
    <row r="198" customFormat="false" ht="15" hidden="false" customHeight="false" outlineLevel="0" collapsed="false">
      <c r="A198" s="10" t="n">
        <v>41.6057965755463</v>
      </c>
      <c r="B198" s="11" t="n">
        <v>340</v>
      </c>
      <c r="C198" s="12" t="n">
        <f aca="false">B198*'Correction factors'!$B$7</f>
        <v>1645.26</v>
      </c>
      <c r="D198" s="13" t="n">
        <v>1.825014</v>
      </c>
      <c r="E198" s="14" t="n">
        <v>368</v>
      </c>
      <c r="F198" s="10" t="n">
        <f aca="false">E198/'Correction factors'!$B$10</f>
        <v>29.6792</v>
      </c>
      <c r="G198" s="11" t="n">
        <v>510</v>
      </c>
    </row>
    <row r="199" customFormat="false" ht="15" hidden="false" customHeight="false" outlineLevel="0" collapsed="false">
      <c r="A199" s="10" t="n">
        <v>42.0606243610382</v>
      </c>
      <c r="B199" s="11" t="n">
        <v>340</v>
      </c>
      <c r="C199" s="12" t="n">
        <f aca="false">B199*'Correction factors'!$B$7</f>
        <v>1645.26</v>
      </c>
      <c r="D199" s="13" t="n">
        <v>1.815192</v>
      </c>
      <c r="E199" s="14" t="n">
        <v>376</v>
      </c>
      <c r="F199" s="10" t="n">
        <f aca="false">E199/'Correction factors'!$B$10</f>
        <v>30.3244</v>
      </c>
      <c r="G199" s="11" t="n">
        <v>510</v>
      </c>
    </row>
    <row r="200" customFormat="false" ht="15" hidden="false" customHeight="false" outlineLevel="0" collapsed="false">
      <c r="A200" s="10" t="n">
        <v>42.0606243610382</v>
      </c>
      <c r="B200" s="11" t="n">
        <v>340</v>
      </c>
      <c r="C200" s="12" t="n">
        <f aca="false">B200*'Correction factors'!$B$7</f>
        <v>1645.26</v>
      </c>
      <c r="D200" s="13" t="n">
        <v>1.815192</v>
      </c>
      <c r="E200" s="14" t="n">
        <v>368</v>
      </c>
      <c r="F200" s="10" t="n">
        <f aca="false">E200/'Correction factors'!$B$10</f>
        <v>29.6792</v>
      </c>
      <c r="G200" s="11" t="n">
        <v>510</v>
      </c>
    </row>
    <row r="201" customFormat="false" ht="15" hidden="false" customHeight="false" outlineLevel="0" collapsed="false">
      <c r="A201" s="10" t="n">
        <v>42.5577237606049</v>
      </c>
      <c r="B201" s="11" t="n">
        <v>340</v>
      </c>
      <c r="C201" s="12" t="n">
        <f aca="false">B201*'Correction factors'!$B$7</f>
        <v>1645.26</v>
      </c>
      <c r="D201" s="13" t="n">
        <v>1.815192</v>
      </c>
      <c r="E201" s="14" t="n">
        <v>360</v>
      </c>
      <c r="F201" s="10" t="n">
        <f aca="false">E201/'Correction factors'!$B$10</f>
        <v>29.034</v>
      </c>
      <c r="G201" s="11" t="n">
        <v>510</v>
      </c>
    </row>
    <row r="202" customFormat="false" ht="15" hidden="false" customHeight="false" outlineLevel="0" collapsed="false">
      <c r="A202" s="10" t="n">
        <v>42.5577237606049</v>
      </c>
      <c r="B202" s="11" t="n">
        <v>340</v>
      </c>
      <c r="C202" s="12" t="n">
        <f aca="false">B202*'Correction factors'!$B$7</f>
        <v>1645.26</v>
      </c>
      <c r="D202" s="13" t="n">
        <v>1.805371</v>
      </c>
      <c r="E202" s="14" t="n">
        <v>368</v>
      </c>
      <c r="F202" s="10" t="n">
        <f aca="false">E202/'Correction factors'!$B$10</f>
        <v>29.6792</v>
      </c>
      <c r="G202" s="11" t="n">
        <v>510</v>
      </c>
    </row>
    <row r="203" customFormat="false" ht="15" hidden="false" customHeight="false" outlineLevel="0" collapsed="false">
      <c r="A203" s="10" t="n">
        <v>42.5577237606049</v>
      </c>
      <c r="B203" s="11" t="n">
        <v>340</v>
      </c>
      <c r="C203" s="12" t="n">
        <f aca="false">B203*'Correction factors'!$B$7</f>
        <v>1645.26</v>
      </c>
      <c r="D203" s="13" t="n">
        <v>1.795549</v>
      </c>
      <c r="E203" s="14" t="n">
        <v>360</v>
      </c>
      <c r="F203" s="10" t="n">
        <f aca="false">E203/'Correction factors'!$B$10</f>
        <v>29.034</v>
      </c>
      <c r="G203" s="11" t="n">
        <v>510</v>
      </c>
    </row>
    <row r="204" customFormat="false" ht="15" hidden="false" customHeight="false" outlineLevel="0" collapsed="false">
      <c r="A204" s="10" t="n">
        <v>43.0553379058838</v>
      </c>
      <c r="B204" s="11" t="n">
        <v>320</v>
      </c>
      <c r="C204" s="12" t="n">
        <f aca="false">B204*'Correction factors'!$B$7</f>
        <v>1548.48</v>
      </c>
      <c r="D204" s="13" t="n">
        <v>1.805371</v>
      </c>
      <c r="E204" s="14" t="n">
        <v>368</v>
      </c>
      <c r="F204" s="10" t="n">
        <f aca="false">E204/'Correction factors'!$B$10</f>
        <v>29.6792</v>
      </c>
      <c r="G204" s="11" t="n">
        <v>510</v>
      </c>
    </row>
    <row r="205" customFormat="false" ht="15" hidden="false" customHeight="false" outlineLevel="0" collapsed="false">
      <c r="A205" s="10" t="n">
        <v>43.0553379058838</v>
      </c>
      <c r="B205" s="11" t="n">
        <v>320</v>
      </c>
      <c r="C205" s="12" t="n">
        <f aca="false">B205*'Correction factors'!$B$7</f>
        <v>1548.48</v>
      </c>
      <c r="D205" s="13" t="n">
        <v>1.805371</v>
      </c>
      <c r="E205" s="14" t="n">
        <v>360</v>
      </c>
      <c r="F205" s="10" t="n">
        <f aca="false">E205/'Correction factors'!$B$10</f>
        <v>29.034</v>
      </c>
      <c r="G205" s="11" t="n">
        <v>510</v>
      </c>
    </row>
    <row r="206" customFormat="false" ht="15" hidden="false" customHeight="false" outlineLevel="0" collapsed="false">
      <c r="A206" s="10" t="n">
        <v>43.5166976451874</v>
      </c>
      <c r="B206" s="11" t="n">
        <v>320</v>
      </c>
      <c r="C206" s="12" t="n">
        <f aca="false">B206*'Correction factors'!$B$7</f>
        <v>1548.48</v>
      </c>
      <c r="D206" s="13" t="n">
        <v>1.785728</v>
      </c>
      <c r="E206" s="14" t="n">
        <v>360</v>
      </c>
      <c r="F206" s="10" t="n">
        <f aca="false">E206/'Correction factors'!$B$10</f>
        <v>29.034</v>
      </c>
      <c r="G206" s="11" t="n">
        <v>510</v>
      </c>
    </row>
    <row r="207" customFormat="false" ht="15" hidden="false" customHeight="false" outlineLevel="0" collapsed="false">
      <c r="A207" s="10" t="n">
        <v>43.5166976451874</v>
      </c>
      <c r="B207" s="11" t="n">
        <v>320</v>
      </c>
      <c r="C207" s="12" t="n">
        <f aca="false">B207*'Correction factors'!$B$7</f>
        <v>1548.48</v>
      </c>
      <c r="D207" s="13" t="n">
        <v>1.785728</v>
      </c>
      <c r="E207" s="14" t="n">
        <v>360</v>
      </c>
      <c r="F207" s="10" t="n">
        <f aca="false">E207/'Correction factors'!$B$10</f>
        <v>29.034</v>
      </c>
      <c r="G207" s="11" t="n">
        <v>510</v>
      </c>
    </row>
    <row r="208" customFormat="false" ht="15" hidden="false" customHeight="false" outlineLevel="0" collapsed="false">
      <c r="A208" s="10" t="n">
        <v>43.9777240753174</v>
      </c>
      <c r="B208" s="11" t="n">
        <v>320</v>
      </c>
      <c r="C208" s="12" t="n">
        <f aca="false">B208*'Correction factors'!$B$7</f>
        <v>1548.48</v>
      </c>
      <c r="D208" s="13" t="n">
        <v>1.785728</v>
      </c>
      <c r="E208" s="14" t="n">
        <v>360</v>
      </c>
      <c r="F208" s="10" t="n">
        <f aca="false">E208/'Correction factors'!$B$10</f>
        <v>29.034</v>
      </c>
      <c r="G208" s="11" t="n">
        <v>510</v>
      </c>
    </row>
    <row r="209" customFormat="false" ht="15" hidden="false" customHeight="false" outlineLevel="0" collapsed="false">
      <c r="A209" s="10" t="n">
        <v>43.9777240753174</v>
      </c>
      <c r="B209" s="11" t="n">
        <v>320</v>
      </c>
      <c r="C209" s="12" t="n">
        <f aca="false">B209*'Correction factors'!$B$7</f>
        <v>1548.48</v>
      </c>
      <c r="D209" s="13" t="n">
        <v>1.785728</v>
      </c>
      <c r="E209" s="14" t="n">
        <v>360</v>
      </c>
      <c r="F209" s="10" t="n">
        <f aca="false">E209/'Correction factors'!$B$10</f>
        <v>29.034</v>
      </c>
      <c r="G209" s="11" t="n">
        <v>510</v>
      </c>
    </row>
    <row r="210" customFormat="false" ht="15" hidden="false" customHeight="false" outlineLevel="0" collapsed="false">
      <c r="A210" s="10" t="n">
        <v>43.9777240753174</v>
      </c>
      <c r="B210" s="11" t="n">
        <v>320</v>
      </c>
      <c r="C210" s="12" t="n">
        <f aca="false">B210*'Correction factors'!$B$7</f>
        <v>1548.48</v>
      </c>
      <c r="D210" s="13" t="n">
        <v>1.785728</v>
      </c>
      <c r="E210" s="14" t="n">
        <v>352</v>
      </c>
      <c r="F210" s="10" t="n">
        <f aca="false">E210/'Correction factors'!$B$10</f>
        <v>28.3888</v>
      </c>
      <c r="G210" s="11" t="n">
        <v>510</v>
      </c>
    </row>
    <row r="211" customFormat="false" ht="15" hidden="false" customHeight="false" outlineLevel="0" collapsed="false">
      <c r="A211" s="10" t="n">
        <v>44.4761435985565</v>
      </c>
      <c r="B211" s="11" t="n">
        <v>340</v>
      </c>
      <c r="C211" s="12" t="n">
        <f aca="false">B211*'Correction factors'!$B$7</f>
        <v>1645.26</v>
      </c>
      <c r="D211" s="13" t="n">
        <v>1.775906</v>
      </c>
      <c r="E211" s="14" t="n">
        <v>360</v>
      </c>
      <c r="F211" s="10" t="n">
        <f aca="false">E211/'Correction factors'!$B$10</f>
        <v>29.034</v>
      </c>
      <c r="G211" s="11" t="n">
        <v>510</v>
      </c>
    </row>
    <row r="212" customFormat="false" ht="15" hidden="false" customHeight="false" outlineLevel="0" collapsed="false">
      <c r="A212" s="10" t="n">
        <v>44.4761435985565</v>
      </c>
      <c r="B212" s="11" t="n">
        <v>320</v>
      </c>
      <c r="C212" s="12" t="n">
        <f aca="false">B212*'Correction factors'!$B$7</f>
        <v>1548.48</v>
      </c>
      <c r="D212" s="13" t="n">
        <v>1.785728</v>
      </c>
      <c r="E212" s="14" t="n">
        <v>360</v>
      </c>
      <c r="F212" s="10" t="n">
        <f aca="false">E212/'Correction factors'!$B$10</f>
        <v>29.034</v>
      </c>
      <c r="G212" s="11" t="n">
        <v>510</v>
      </c>
    </row>
    <row r="213" customFormat="false" ht="15" hidden="false" customHeight="false" outlineLevel="0" collapsed="false">
      <c r="A213" s="10" t="n">
        <v>44.9368810653687</v>
      </c>
      <c r="B213" s="11" t="n">
        <v>320</v>
      </c>
      <c r="C213" s="12" t="n">
        <f aca="false">B213*'Correction factors'!$B$7</f>
        <v>1548.48</v>
      </c>
      <c r="D213" s="13" t="n">
        <v>1.785728</v>
      </c>
      <c r="E213" s="14" t="n">
        <v>360</v>
      </c>
      <c r="F213" s="10" t="n">
        <f aca="false">E213/'Correction factors'!$B$10</f>
        <v>29.034</v>
      </c>
      <c r="G213" s="11" t="n">
        <v>510</v>
      </c>
    </row>
    <row r="214" customFormat="false" ht="15" hidden="false" customHeight="false" outlineLevel="0" collapsed="false">
      <c r="A214" s="10" t="n">
        <v>44.9368810653687</v>
      </c>
      <c r="B214" s="11" t="n">
        <v>320</v>
      </c>
      <c r="C214" s="12" t="n">
        <f aca="false">B214*'Correction factors'!$B$7</f>
        <v>1548.48</v>
      </c>
      <c r="D214" s="13" t="n">
        <v>1.785728</v>
      </c>
      <c r="E214" s="14" t="n">
        <v>360</v>
      </c>
      <c r="F214" s="10" t="n">
        <f aca="false">E214/'Correction factors'!$B$10</f>
        <v>29.034</v>
      </c>
      <c r="G214" s="11" t="n">
        <v>510</v>
      </c>
    </row>
    <row r="215" customFormat="false" ht="15" hidden="false" customHeight="false" outlineLevel="0" collapsed="false">
      <c r="A215" s="10" t="n">
        <v>45.4006974697113</v>
      </c>
      <c r="B215" s="11" t="n">
        <v>320</v>
      </c>
      <c r="C215" s="12" t="n">
        <f aca="false">B215*'Correction factors'!$B$7</f>
        <v>1548.48</v>
      </c>
      <c r="D215" s="13" t="n">
        <v>1.775906</v>
      </c>
      <c r="E215" s="14" t="n">
        <v>352</v>
      </c>
      <c r="F215" s="10" t="n">
        <f aca="false">E215/'Correction factors'!$B$10</f>
        <v>28.3888</v>
      </c>
      <c r="G215" s="11" t="n">
        <v>510</v>
      </c>
    </row>
    <row r="216" customFormat="false" ht="15" hidden="false" customHeight="false" outlineLevel="0" collapsed="false">
      <c r="A216" s="10" t="n">
        <v>45.4006974697113</v>
      </c>
      <c r="B216" s="11" t="n">
        <v>320</v>
      </c>
      <c r="C216" s="12" t="n">
        <f aca="false">B216*'Correction factors'!$B$7</f>
        <v>1548.48</v>
      </c>
      <c r="D216" s="13" t="n">
        <v>1.766084</v>
      </c>
      <c r="E216" s="14" t="n">
        <v>360</v>
      </c>
      <c r="F216" s="10" t="n">
        <f aca="false">E216/'Correction factors'!$B$10</f>
        <v>29.034</v>
      </c>
      <c r="G216" s="11" t="n">
        <v>510</v>
      </c>
    </row>
    <row r="217" customFormat="false" ht="15" hidden="false" customHeight="false" outlineLevel="0" collapsed="false">
      <c r="A217" s="10" t="n">
        <v>45.4006974697113</v>
      </c>
      <c r="B217" s="11" t="n">
        <v>320</v>
      </c>
      <c r="C217" s="12" t="n">
        <f aca="false">B217*'Correction factors'!$B$7</f>
        <v>1548.48</v>
      </c>
      <c r="D217" s="13" t="n">
        <v>1.775906</v>
      </c>
      <c r="E217" s="14" t="n">
        <v>352</v>
      </c>
      <c r="F217" s="10" t="n">
        <f aca="false">E217/'Correction factors'!$B$10</f>
        <v>28.3888</v>
      </c>
      <c r="G217" s="11" t="n">
        <v>510</v>
      </c>
    </row>
    <row r="218" customFormat="false" ht="15" hidden="false" customHeight="false" outlineLevel="0" collapsed="false">
      <c r="A218" s="10" t="n">
        <v>45.8940978050232</v>
      </c>
      <c r="B218" s="11" t="n">
        <v>320</v>
      </c>
      <c r="C218" s="12" t="n">
        <f aca="false">B218*'Correction factors'!$B$7</f>
        <v>1548.48</v>
      </c>
      <c r="D218" s="13" t="n">
        <v>1.766084</v>
      </c>
      <c r="E218" s="14" t="n">
        <v>360</v>
      </c>
      <c r="F218" s="10" t="n">
        <f aca="false">E218/'Correction factors'!$B$10</f>
        <v>29.034</v>
      </c>
      <c r="G218" s="11" t="n">
        <v>510</v>
      </c>
    </row>
    <row r="219" customFormat="false" ht="15" hidden="false" customHeight="false" outlineLevel="0" collapsed="false">
      <c r="A219" s="10" t="n">
        <v>45.8940978050232</v>
      </c>
      <c r="B219" s="11" t="n">
        <v>320</v>
      </c>
      <c r="C219" s="12" t="n">
        <f aca="false">B219*'Correction factors'!$B$7</f>
        <v>1548.48</v>
      </c>
      <c r="D219" s="13" t="n">
        <v>1.756263</v>
      </c>
      <c r="E219" s="14" t="n">
        <v>352</v>
      </c>
      <c r="F219" s="10" t="n">
        <f aca="false">E219/'Correction factors'!$B$10</f>
        <v>28.3888</v>
      </c>
      <c r="G219" s="11" t="n">
        <v>510</v>
      </c>
    </row>
    <row r="220" customFormat="false" ht="15" hidden="false" customHeight="false" outlineLevel="0" collapsed="false">
      <c r="A220" s="10" t="n">
        <v>46.3191034793854</v>
      </c>
      <c r="B220" s="11" t="n">
        <v>320</v>
      </c>
      <c r="C220" s="12" t="n">
        <f aca="false">B220*'Correction factors'!$B$7</f>
        <v>1548.48</v>
      </c>
      <c r="D220" s="13" t="n">
        <v>1.766084</v>
      </c>
      <c r="E220" s="14" t="n">
        <v>352</v>
      </c>
      <c r="F220" s="10" t="n">
        <f aca="false">E220/'Correction factors'!$B$10</f>
        <v>28.3888</v>
      </c>
      <c r="G220" s="11" t="n">
        <v>510</v>
      </c>
    </row>
    <row r="221" customFormat="false" ht="15" hidden="false" customHeight="false" outlineLevel="0" collapsed="false">
      <c r="A221" s="10" t="n">
        <v>46.3191034793854</v>
      </c>
      <c r="B221" s="11" t="n">
        <v>300</v>
      </c>
      <c r="C221" s="12" t="n">
        <f aca="false">B221*'Correction factors'!$B$7</f>
        <v>1451.7</v>
      </c>
      <c r="D221" s="13" t="n">
        <v>1.766084</v>
      </c>
      <c r="E221" s="14" t="n">
        <v>352</v>
      </c>
      <c r="F221" s="10" t="n">
        <f aca="false">E221/'Correction factors'!$B$10</f>
        <v>28.3888</v>
      </c>
      <c r="G221" s="11" t="n">
        <v>510</v>
      </c>
    </row>
    <row r="222" customFormat="false" ht="15" hidden="false" customHeight="false" outlineLevel="0" collapsed="false">
      <c r="A222" s="10" t="n">
        <v>46.7848043441773</v>
      </c>
      <c r="B222" s="11" t="n">
        <v>320</v>
      </c>
      <c r="C222" s="12" t="n">
        <f aca="false">B222*'Correction factors'!$B$7</f>
        <v>1548.48</v>
      </c>
      <c r="D222" s="13" t="n">
        <v>1.746441</v>
      </c>
      <c r="E222" s="14" t="n">
        <v>352</v>
      </c>
      <c r="F222" s="10" t="n">
        <f aca="false">E222/'Correction factors'!$B$10</f>
        <v>28.3888</v>
      </c>
      <c r="G222" s="11" t="n">
        <v>510</v>
      </c>
    </row>
    <row r="223" customFormat="false" ht="15" hidden="false" customHeight="false" outlineLevel="0" collapsed="false">
      <c r="A223" s="10" t="n">
        <v>46.7848043441773</v>
      </c>
      <c r="B223" s="11" t="n">
        <v>320</v>
      </c>
      <c r="C223" s="12" t="n">
        <f aca="false">B223*'Correction factors'!$B$7</f>
        <v>1548.48</v>
      </c>
      <c r="D223" s="13" t="n">
        <v>1.746441</v>
      </c>
      <c r="E223" s="14" t="n">
        <v>352</v>
      </c>
      <c r="F223" s="10" t="n">
        <f aca="false">E223/'Correction factors'!$B$10</f>
        <v>28.3888</v>
      </c>
      <c r="G223" s="11" t="n">
        <v>510</v>
      </c>
    </row>
    <row r="224" customFormat="false" ht="15" hidden="false" customHeight="false" outlineLevel="0" collapsed="false">
      <c r="A224" s="10" t="n">
        <v>47.2109231948853</v>
      </c>
      <c r="B224" s="11" t="n">
        <v>320</v>
      </c>
      <c r="C224" s="12" t="n">
        <f aca="false">B224*'Correction factors'!$B$7</f>
        <v>1548.48</v>
      </c>
      <c r="D224" s="13" t="n">
        <v>1.766084</v>
      </c>
      <c r="E224" s="14" t="n">
        <v>352</v>
      </c>
      <c r="F224" s="10" t="n">
        <f aca="false">E224/'Correction factors'!$B$10</f>
        <v>28.3888</v>
      </c>
      <c r="G224" s="11" t="n">
        <v>510</v>
      </c>
    </row>
    <row r="225" customFormat="false" ht="15" hidden="false" customHeight="false" outlineLevel="0" collapsed="false">
      <c r="A225" s="10" t="n">
        <v>47.2109231948853</v>
      </c>
      <c r="B225" s="11" t="n">
        <v>320</v>
      </c>
      <c r="C225" s="12" t="n">
        <f aca="false">B225*'Correction factors'!$B$7</f>
        <v>1548.48</v>
      </c>
      <c r="D225" s="13" t="n">
        <v>1.756263</v>
      </c>
      <c r="E225" s="14" t="n">
        <v>352</v>
      </c>
      <c r="F225" s="10" t="n">
        <f aca="false">E225/'Correction factors'!$B$10</f>
        <v>28.3888</v>
      </c>
      <c r="G225" s="11" t="n">
        <v>510</v>
      </c>
    </row>
    <row r="226" customFormat="false" ht="15" hidden="false" customHeight="false" outlineLevel="0" collapsed="false">
      <c r="A226" s="10" t="n">
        <v>47.6473507881165</v>
      </c>
      <c r="B226" s="11" t="n">
        <v>300</v>
      </c>
      <c r="C226" s="12" t="n">
        <f aca="false">B226*'Correction factors'!$B$7</f>
        <v>1451.7</v>
      </c>
      <c r="D226" s="13" t="n">
        <v>1.756263</v>
      </c>
      <c r="E226" s="14" t="n">
        <v>352</v>
      </c>
      <c r="F226" s="10" t="n">
        <f aca="false">E226/'Correction factors'!$B$10</f>
        <v>28.3888</v>
      </c>
      <c r="G226" s="11" t="n">
        <v>510</v>
      </c>
    </row>
    <row r="227" customFormat="false" ht="15" hidden="false" customHeight="false" outlineLevel="0" collapsed="false">
      <c r="A227" s="10" t="n">
        <v>47.6473507881165</v>
      </c>
      <c r="B227" s="11" t="n">
        <v>320</v>
      </c>
      <c r="C227" s="12" t="n">
        <f aca="false">B227*'Correction factors'!$B$7</f>
        <v>1548.48</v>
      </c>
      <c r="D227" s="13" t="n">
        <v>1.73662</v>
      </c>
      <c r="E227" s="14" t="n">
        <v>344</v>
      </c>
      <c r="F227" s="10" t="n">
        <f aca="false">E227/'Correction factors'!$B$10</f>
        <v>27.7436</v>
      </c>
      <c r="G227" s="11" t="n">
        <v>510</v>
      </c>
    </row>
    <row r="228" customFormat="false" ht="15" hidden="false" customHeight="false" outlineLevel="0" collapsed="false">
      <c r="A228" s="10" t="n">
        <v>48.0800769329071</v>
      </c>
      <c r="B228" s="11" t="n">
        <v>320</v>
      </c>
      <c r="C228" s="12" t="n">
        <f aca="false">B228*'Correction factors'!$B$7</f>
        <v>1548.48</v>
      </c>
      <c r="D228" s="13" t="n">
        <v>1.756263</v>
      </c>
      <c r="E228" s="14" t="n">
        <v>352</v>
      </c>
      <c r="F228" s="10" t="n">
        <f aca="false">E228/'Correction factors'!$B$10</f>
        <v>28.3888</v>
      </c>
      <c r="G228" s="11" t="n">
        <v>510</v>
      </c>
    </row>
    <row r="229" customFormat="false" ht="15" hidden="false" customHeight="false" outlineLevel="0" collapsed="false">
      <c r="A229" s="10" t="n">
        <v>48.0800769329071</v>
      </c>
      <c r="B229" s="11" t="n">
        <v>320</v>
      </c>
      <c r="C229" s="12" t="n">
        <f aca="false">B229*'Correction factors'!$B$7</f>
        <v>1548.48</v>
      </c>
      <c r="D229" s="13" t="n">
        <v>1.746441</v>
      </c>
      <c r="E229" s="14" t="n">
        <v>352</v>
      </c>
      <c r="F229" s="10" t="n">
        <f aca="false">E229/'Correction factors'!$B$10</f>
        <v>28.3888</v>
      </c>
      <c r="G229" s="11" t="n">
        <v>510</v>
      </c>
    </row>
    <row r="230" customFormat="false" ht="15" hidden="false" customHeight="false" outlineLevel="0" collapsed="false">
      <c r="A230" s="10" t="n">
        <v>48.5163187980652</v>
      </c>
      <c r="B230" s="11" t="n">
        <v>300</v>
      </c>
      <c r="C230" s="12" t="n">
        <f aca="false">B230*'Correction factors'!$B$7</f>
        <v>1451.7</v>
      </c>
      <c r="D230" s="13" t="n">
        <v>1.746441</v>
      </c>
      <c r="E230" s="14" t="n">
        <v>344</v>
      </c>
      <c r="F230" s="10" t="n">
        <f aca="false">E230/'Correction factors'!$B$10</f>
        <v>27.7436</v>
      </c>
      <c r="G230" s="11" t="n">
        <v>510</v>
      </c>
    </row>
    <row r="231" customFormat="false" ht="15" hidden="false" customHeight="false" outlineLevel="0" collapsed="false">
      <c r="A231" s="10" t="n">
        <v>48.5163187980652</v>
      </c>
      <c r="B231" s="11" t="n">
        <v>300</v>
      </c>
      <c r="C231" s="12" t="n">
        <f aca="false">B231*'Correction factors'!$B$7</f>
        <v>1451.7</v>
      </c>
      <c r="D231" s="13" t="n">
        <v>1.73662</v>
      </c>
      <c r="E231" s="14" t="n">
        <v>352</v>
      </c>
      <c r="F231" s="10" t="n">
        <f aca="false">E231/'Correction factors'!$B$10</f>
        <v>28.3888</v>
      </c>
      <c r="G231" s="11" t="n">
        <v>510</v>
      </c>
    </row>
    <row r="232" customFormat="false" ht="15" hidden="false" customHeight="false" outlineLevel="0" collapsed="false">
      <c r="A232" s="10" t="n">
        <v>48.5163187980652</v>
      </c>
      <c r="B232" s="11" t="n">
        <v>300</v>
      </c>
      <c r="C232" s="12" t="n">
        <f aca="false">B232*'Correction factors'!$B$7</f>
        <v>1451.7</v>
      </c>
      <c r="D232" s="13" t="n">
        <v>1.73662</v>
      </c>
      <c r="E232" s="14" t="n">
        <v>344</v>
      </c>
      <c r="F232" s="10" t="n">
        <f aca="false">E232/'Correction factors'!$B$10</f>
        <v>27.7436</v>
      </c>
      <c r="G232" s="11" t="n">
        <v>510</v>
      </c>
    </row>
    <row r="233" customFormat="false" ht="15" hidden="false" customHeight="false" outlineLevel="0" collapsed="false">
      <c r="A233" s="10" t="n">
        <v>49.0134592056274</v>
      </c>
      <c r="B233" s="11" t="n">
        <v>320</v>
      </c>
      <c r="C233" s="12" t="n">
        <f aca="false">B233*'Correction factors'!$B$7</f>
        <v>1548.48</v>
      </c>
      <c r="D233" s="13" t="n">
        <v>1.73662</v>
      </c>
      <c r="E233" s="14" t="n">
        <v>344</v>
      </c>
      <c r="F233" s="10" t="n">
        <f aca="false">E233/'Correction factors'!$B$10</f>
        <v>27.7436</v>
      </c>
      <c r="G233" s="11" t="n">
        <v>510</v>
      </c>
    </row>
    <row r="234" customFormat="false" ht="15" hidden="false" customHeight="false" outlineLevel="0" collapsed="false">
      <c r="A234" s="10" t="n">
        <v>49.0134592056274</v>
      </c>
      <c r="B234" s="11" t="n">
        <v>300</v>
      </c>
      <c r="C234" s="12" t="n">
        <f aca="false">B234*'Correction factors'!$B$7</f>
        <v>1451.7</v>
      </c>
      <c r="D234" s="13" t="n">
        <v>1.726798</v>
      </c>
      <c r="E234" s="14" t="n">
        <v>344</v>
      </c>
      <c r="F234" s="10" t="n">
        <f aca="false">E234/'Correction factors'!$B$10</f>
        <v>27.7436</v>
      </c>
      <c r="G234" s="11" t="n">
        <v>510</v>
      </c>
    </row>
    <row r="235" customFormat="false" ht="15" hidden="false" customHeight="false" outlineLevel="0" collapsed="false">
      <c r="A235" s="10" t="n">
        <v>49.4353768825531</v>
      </c>
      <c r="B235" s="11" t="n">
        <v>300</v>
      </c>
      <c r="C235" s="12" t="n">
        <f aca="false">B235*'Correction factors'!$B$7</f>
        <v>1451.7</v>
      </c>
      <c r="D235" s="13" t="n">
        <v>1.73662</v>
      </c>
      <c r="E235" s="14" t="n">
        <v>344</v>
      </c>
      <c r="F235" s="10" t="n">
        <f aca="false">E235/'Correction factors'!$B$10</f>
        <v>27.7436</v>
      </c>
      <c r="G235" s="11" t="n">
        <v>510</v>
      </c>
    </row>
    <row r="236" customFormat="false" ht="15" hidden="false" customHeight="false" outlineLevel="0" collapsed="false">
      <c r="A236" s="10" t="n">
        <v>49.4353768825531</v>
      </c>
      <c r="B236" s="11" t="n">
        <v>300</v>
      </c>
      <c r="C236" s="12" t="n">
        <f aca="false">B236*'Correction factors'!$B$7</f>
        <v>1451.7</v>
      </c>
      <c r="D236" s="13" t="n">
        <v>1.726798</v>
      </c>
      <c r="E236" s="14" t="n">
        <v>352</v>
      </c>
      <c r="F236" s="10" t="n">
        <f aca="false">E236/'Correction factors'!$B$10</f>
        <v>28.3888</v>
      </c>
      <c r="G236" s="11" t="n">
        <v>510</v>
      </c>
    </row>
    <row r="237" customFormat="false" ht="15" hidden="false" customHeight="false" outlineLevel="0" collapsed="false">
      <c r="A237" s="10" t="n">
        <v>49.8934786319733</v>
      </c>
      <c r="B237" s="11" t="n">
        <v>300</v>
      </c>
      <c r="C237" s="12" t="n">
        <f aca="false">B237*'Correction factors'!$B$7</f>
        <v>1451.7</v>
      </c>
      <c r="D237" s="13" t="n">
        <v>1.73662</v>
      </c>
      <c r="E237" s="14" t="n">
        <v>344</v>
      </c>
      <c r="F237" s="10" t="n">
        <f aca="false">E237/'Correction factors'!$B$10</f>
        <v>27.7436</v>
      </c>
      <c r="G237" s="11" t="n">
        <v>510</v>
      </c>
    </row>
    <row r="238" customFormat="false" ht="15" hidden="false" customHeight="false" outlineLevel="0" collapsed="false">
      <c r="A238" s="10" t="n">
        <v>49.8934786319733</v>
      </c>
      <c r="B238" s="11" t="n">
        <v>300</v>
      </c>
      <c r="C238" s="12" t="n">
        <f aca="false">B238*'Correction factors'!$B$7</f>
        <v>1451.7</v>
      </c>
      <c r="D238" s="13" t="n">
        <v>1.726798</v>
      </c>
      <c r="E238" s="14" t="n">
        <v>344</v>
      </c>
      <c r="F238" s="10" t="n">
        <f aca="false">E238/'Correction factors'!$B$10</f>
        <v>27.7436</v>
      </c>
      <c r="G238" s="11" t="n">
        <v>510</v>
      </c>
    </row>
    <row r="239" customFormat="false" ht="15" hidden="false" customHeight="false" outlineLevel="0" collapsed="false">
      <c r="A239" s="10" t="n">
        <v>50.3207902908325</v>
      </c>
      <c r="B239" s="11" t="n">
        <v>300</v>
      </c>
      <c r="C239" s="12" t="n">
        <f aca="false">B239*'Correction factors'!$B$7</f>
        <v>1451.7</v>
      </c>
      <c r="D239" s="13" t="n">
        <v>1.726798</v>
      </c>
      <c r="E239" s="14" t="n">
        <v>344</v>
      </c>
      <c r="F239" s="10" t="n">
        <f aca="false">E239/'Correction factors'!$B$10</f>
        <v>27.7436</v>
      </c>
      <c r="G239" s="11" t="n">
        <v>510</v>
      </c>
    </row>
    <row r="240" customFormat="false" ht="15" hidden="false" customHeight="false" outlineLevel="0" collapsed="false">
      <c r="A240" s="10" t="n">
        <v>50.3207902908325</v>
      </c>
      <c r="B240" s="11" t="n">
        <v>300</v>
      </c>
      <c r="C240" s="12" t="n">
        <f aca="false">B240*'Correction factors'!$B$7</f>
        <v>1451.7</v>
      </c>
      <c r="D240" s="13" t="n">
        <v>1.726798</v>
      </c>
      <c r="E240" s="14" t="n">
        <v>344</v>
      </c>
      <c r="F240" s="10" t="n">
        <f aca="false">E240/'Correction factors'!$B$10</f>
        <v>27.7436</v>
      </c>
      <c r="G240" s="11" t="n">
        <v>510</v>
      </c>
    </row>
    <row r="241" customFormat="false" ht="15" hidden="false" customHeight="false" outlineLevel="0" collapsed="false">
      <c r="A241" s="10" t="n">
        <v>50.7666671276093</v>
      </c>
      <c r="B241" s="11" t="n">
        <v>300</v>
      </c>
      <c r="C241" s="12" t="n">
        <f aca="false">B241*'Correction factors'!$B$7</f>
        <v>1451.7</v>
      </c>
      <c r="D241" s="13" t="n">
        <v>1.716976</v>
      </c>
      <c r="E241" s="14" t="n">
        <v>344</v>
      </c>
      <c r="F241" s="10" t="n">
        <f aca="false">E241/'Correction factors'!$B$10</f>
        <v>27.7436</v>
      </c>
      <c r="G241" s="11" t="n">
        <v>510</v>
      </c>
    </row>
    <row r="242" customFormat="false" ht="15" hidden="false" customHeight="false" outlineLevel="0" collapsed="false">
      <c r="A242" s="10" t="n">
        <v>50.7666671276093</v>
      </c>
      <c r="B242" s="11" t="n">
        <v>300</v>
      </c>
      <c r="C242" s="12" t="n">
        <f aca="false">B242*'Correction factors'!$B$7</f>
        <v>1451.7</v>
      </c>
      <c r="D242" s="13" t="n">
        <v>1.716976</v>
      </c>
      <c r="E242" s="14" t="n">
        <v>344</v>
      </c>
      <c r="F242" s="10" t="n">
        <f aca="false">E242/'Correction factors'!$B$10</f>
        <v>27.7436</v>
      </c>
      <c r="G242" s="11" t="n">
        <v>510</v>
      </c>
    </row>
    <row r="243" customFormat="false" ht="15" hidden="false" customHeight="false" outlineLevel="0" collapsed="false">
      <c r="A243" s="10" t="n">
        <v>51.2514326572418</v>
      </c>
      <c r="B243" s="11" t="n">
        <v>300</v>
      </c>
      <c r="C243" s="12" t="n">
        <f aca="false">B243*'Correction factors'!$B$7</f>
        <v>1451.7</v>
      </c>
      <c r="D243" s="13" t="n">
        <v>1.726798</v>
      </c>
      <c r="E243" s="14" t="n">
        <v>344</v>
      </c>
      <c r="F243" s="10" t="n">
        <f aca="false">E243/'Correction factors'!$B$10</f>
        <v>27.7436</v>
      </c>
      <c r="G243" s="11" t="n">
        <v>510</v>
      </c>
    </row>
    <row r="244" customFormat="false" ht="15" hidden="false" customHeight="false" outlineLevel="0" collapsed="false">
      <c r="A244" s="10" t="n">
        <v>51.2514326572418</v>
      </c>
      <c r="B244" s="11" t="n">
        <v>300</v>
      </c>
      <c r="C244" s="12" t="n">
        <f aca="false">B244*'Correction factors'!$B$7</f>
        <v>1451.7</v>
      </c>
      <c r="D244" s="13" t="n">
        <v>1.716976</v>
      </c>
      <c r="E244" s="14" t="n">
        <v>336</v>
      </c>
      <c r="F244" s="10" t="n">
        <f aca="false">E244/'Correction factors'!$B$10</f>
        <v>27.0984</v>
      </c>
      <c r="G244" s="11" t="n">
        <v>510</v>
      </c>
    </row>
    <row r="245" customFormat="false" ht="15" hidden="false" customHeight="false" outlineLevel="0" collapsed="false">
      <c r="A245" s="10" t="n">
        <v>51.2514326572418</v>
      </c>
      <c r="B245" s="11" t="n">
        <v>300</v>
      </c>
      <c r="C245" s="12" t="n">
        <f aca="false">B245*'Correction factors'!$B$7</f>
        <v>1451.7</v>
      </c>
      <c r="D245" s="13" t="n">
        <v>1.716976</v>
      </c>
      <c r="E245" s="14" t="n">
        <v>336</v>
      </c>
      <c r="F245" s="10" t="n">
        <f aca="false">E245/'Correction factors'!$B$10</f>
        <v>27.0984</v>
      </c>
      <c r="G245" s="11" t="n">
        <v>510</v>
      </c>
    </row>
    <row r="246" customFormat="false" ht="15" hidden="false" customHeight="false" outlineLevel="0" collapsed="false">
      <c r="A246" s="10" t="n">
        <v>51.7196090221405</v>
      </c>
      <c r="B246" s="11" t="n">
        <v>300</v>
      </c>
      <c r="C246" s="12" t="n">
        <f aca="false">B246*'Correction factors'!$B$7</f>
        <v>1451.7</v>
      </c>
      <c r="D246" s="13" t="n">
        <v>1.707155</v>
      </c>
      <c r="E246" s="14" t="n">
        <v>336</v>
      </c>
      <c r="F246" s="10" t="n">
        <f aca="false">E246/'Correction factors'!$B$10</f>
        <v>27.0984</v>
      </c>
      <c r="G246" s="11" t="n">
        <v>510</v>
      </c>
    </row>
    <row r="247" customFormat="false" ht="15" hidden="false" customHeight="false" outlineLevel="0" collapsed="false">
      <c r="A247" s="10" t="n">
        <v>51.7196090221405</v>
      </c>
      <c r="B247" s="11" t="n">
        <v>300</v>
      </c>
      <c r="C247" s="12" t="n">
        <f aca="false">B247*'Correction factors'!$B$7</f>
        <v>1451.7</v>
      </c>
      <c r="D247" s="13" t="n">
        <v>1.707155</v>
      </c>
      <c r="E247" s="14" t="n">
        <v>344</v>
      </c>
      <c r="F247" s="10" t="n">
        <f aca="false">E247/'Correction factors'!$B$10</f>
        <v>27.7436</v>
      </c>
      <c r="G247" s="11" t="n">
        <v>510</v>
      </c>
    </row>
    <row r="248" customFormat="false" ht="15" hidden="false" customHeight="false" outlineLevel="0" collapsed="false">
      <c r="A248" s="10" t="n">
        <v>52.1763536930084</v>
      </c>
      <c r="B248" s="11" t="n">
        <v>300</v>
      </c>
      <c r="C248" s="12" t="n">
        <f aca="false">B248*'Correction factors'!$B$7</f>
        <v>1451.7</v>
      </c>
      <c r="D248" s="13" t="n">
        <v>1.707155</v>
      </c>
      <c r="E248" s="14" t="n">
        <v>336</v>
      </c>
      <c r="F248" s="10" t="n">
        <f aca="false">E248/'Correction factors'!$B$10</f>
        <v>27.0984</v>
      </c>
      <c r="G248" s="11" t="n">
        <v>510</v>
      </c>
    </row>
    <row r="249" customFormat="false" ht="15" hidden="false" customHeight="false" outlineLevel="0" collapsed="false">
      <c r="A249" s="10" t="n">
        <v>52.1763536930084</v>
      </c>
      <c r="B249" s="11" t="n">
        <v>300</v>
      </c>
      <c r="C249" s="12" t="n">
        <f aca="false">B249*'Correction factors'!$B$7</f>
        <v>1451.7</v>
      </c>
      <c r="D249" s="13" t="n">
        <v>1.716976</v>
      </c>
      <c r="E249" s="14" t="n">
        <v>336</v>
      </c>
      <c r="F249" s="10" t="n">
        <f aca="false">E249/'Correction factors'!$B$10</f>
        <v>27.0984</v>
      </c>
      <c r="G249" s="11" t="n">
        <v>510</v>
      </c>
    </row>
    <row r="250" customFormat="false" ht="15" hidden="false" customHeight="false" outlineLevel="0" collapsed="false">
      <c r="A250" s="10" t="n">
        <v>52.6247849464417</v>
      </c>
      <c r="B250" s="11" t="n">
        <v>300</v>
      </c>
      <c r="C250" s="12" t="n">
        <f aca="false">B250*'Correction factors'!$B$7</f>
        <v>1451.7</v>
      </c>
      <c r="D250" s="13" t="n">
        <v>1.707155</v>
      </c>
      <c r="E250" s="14" t="n">
        <v>336</v>
      </c>
      <c r="F250" s="10" t="n">
        <f aca="false">E250/'Correction factors'!$B$10</f>
        <v>27.0984</v>
      </c>
      <c r="G250" s="11" t="n">
        <v>510</v>
      </c>
    </row>
    <row r="251" customFormat="false" ht="15" hidden="false" customHeight="false" outlineLevel="0" collapsed="false">
      <c r="A251" s="10" t="n">
        <v>52.6247849464417</v>
      </c>
      <c r="B251" s="11" t="n">
        <v>280</v>
      </c>
      <c r="C251" s="12" t="n">
        <f aca="false">B251*'Correction factors'!$B$7</f>
        <v>1354.92</v>
      </c>
      <c r="D251" s="13" t="n">
        <v>1.697333</v>
      </c>
      <c r="E251" s="14" t="n">
        <v>328</v>
      </c>
      <c r="F251" s="10" t="n">
        <f aca="false">E251/'Correction factors'!$B$10</f>
        <v>26.4532</v>
      </c>
      <c r="G251" s="11" t="n">
        <v>510</v>
      </c>
    </row>
    <row r="252" customFormat="false" ht="15" hidden="false" customHeight="false" outlineLevel="0" collapsed="false">
      <c r="A252" s="10" t="n">
        <v>53.0703997612</v>
      </c>
      <c r="B252" s="11" t="n">
        <v>280</v>
      </c>
      <c r="C252" s="12" t="n">
        <f aca="false">B252*'Correction factors'!$B$7</f>
        <v>1354.92</v>
      </c>
      <c r="D252" s="13" t="n">
        <v>1.697333</v>
      </c>
      <c r="E252" s="14" t="n">
        <v>336</v>
      </c>
      <c r="F252" s="10" t="n">
        <f aca="false">E252/'Correction factors'!$B$10</f>
        <v>27.0984</v>
      </c>
      <c r="G252" s="11" t="n">
        <v>510</v>
      </c>
    </row>
    <row r="253" customFormat="false" ht="15" hidden="false" customHeight="false" outlineLevel="0" collapsed="false">
      <c r="A253" s="10" t="n">
        <v>53.0703997612</v>
      </c>
      <c r="B253" s="11" t="n">
        <v>280</v>
      </c>
      <c r="C253" s="12" t="n">
        <f aca="false">B253*'Correction factors'!$B$7</f>
        <v>1354.92</v>
      </c>
      <c r="D253" s="13" t="n">
        <v>1.687512</v>
      </c>
      <c r="E253" s="14" t="n">
        <v>328</v>
      </c>
      <c r="F253" s="10" t="n">
        <f aca="false">E253/'Correction factors'!$B$10</f>
        <v>26.4532</v>
      </c>
      <c r="G253" s="11" t="n">
        <v>510</v>
      </c>
    </row>
    <row r="254" customFormat="false" ht="15" hidden="false" customHeight="false" outlineLevel="0" collapsed="false">
      <c r="A254" s="10" t="n">
        <v>53.0703997612</v>
      </c>
      <c r="B254" s="11" t="n">
        <v>280</v>
      </c>
      <c r="C254" s="12" t="n">
        <f aca="false">B254*'Correction factors'!$B$7</f>
        <v>1354.92</v>
      </c>
      <c r="D254" s="13" t="n">
        <v>1.697333</v>
      </c>
      <c r="E254" s="14" t="n">
        <v>336</v>
      </c>
      <c r="F254" s="10" t="n">
        <f aca="false">E254/'Correction factors'!$B$10</f>
        <v>27.0984</v>
      </c>
      <c r="G254" s="11" t="n">
        <v>510</v>
      </c>
    </row>
    <row r="255" customFormat="false" ht="15" hidden="false" customHeight="false" outlineLevel="0" collapsed="false">
      <c r="A255" s="10" t="n">
        <v>53.5893933773041</v>
      </c>
      <c r="B255" s="11" t="n">
        <v>280</v>
      </c>
      <c r="C255" s="12" t="n">
        <f aca="false">B255*'Correction factors'!$B$7</f>
        <v>1354.92</v>
      </c>
      <c r="D255" s="13" t="n">
        <v>1.697333</v>
      </c>
      <c r="E255" s="14" t="n">
        <v>336</v>
      </c>
      <c r="F255" s="10" t="n">
        <f aca="false">E255/'Correction factors'!$B$10</f>
        <v>27.0984</v>
      </c>
      <c r="G255" s="11" t="n">
        <v>510</v>
      </c>
    </row>
    <row r="256" customFormat="false" ht="15" hidden="false" customHeight="false" outlineLevel="0" collapsed="false">
      <c r="A256" s="10" t="n">
        <v>53.5893933773041</v>
      </c>
      <c r="B256" s="11" t="n">
        <v>280</v>
      </c>
      <c r="C256" s="12" t="n">
        <f aca="false">B256*'Correction factors'!$B$7</f>
        <v>1354.92</v>
      </c>
      <c r="D256" s="13" t="n">
        <v>1.687512</v>
      </c>
      <c r="E256" s="14" t="n">
        <v>336</v>
      </c>
      <c r="F256" s="10" t="n">
        <f aca="false">E256/'Correction factors'!$B$10</f>
        <v>27.0984</v>
      </c>
      <c r="G256" s="11" t="n">
        <v>510</v>
      </c>
    </row>
    <row r="257" customFormat="false" ht="15" hidden="false" customHeight="false" outlineLevel="0" collapsed="false">
      <c r="A257" s="10" t="n">
        <v>54.0373866558075</v>
      </c>
      <c r="B257" s="11" t="n">
        <v>260</v>
      </c>
      <c r="C257" s="12" t="n">
        <f aca="false">B257*'Correction factors'!$B$7</f>
        <v>1258.14</v>
      </c>
      <c r="D257" s="13" t="n">
        <v>1.697333</v>
      </c>
      <c r="E257" s="14" t="n">
        <v>336</v>
      </c>
      <c r="F257" s="10" t="n">
        <f aca="false">E257/'Correction factors'!$B$10</f>
        <v>27.0984</v>
      </c>
      <c r="G257" s="11" t="n">
        <v>510</v>
      </c>
    </row>
    <row r="258" customFormat="false" ht="15" hidden="false" customHeight="false" outlineLevel="0" collapsed="false">
      <c r="A258" s="10" t="n">
        <v>54.0373866558075</v>
      </c>
      <c r="B258" s="11" t="n">
        <v>260</v>
      </c>
      <c r="C258" s="12" t="n">
        <f aca="false">B258*'Correction factors'!$B$7</f>
        <v>1258.14</v>
      </c>
      <c r="D258" s="13" t="n">
        <v>1.687512</v>
      </c>
      <c r="E258" s="14" t="n">
        <v>328</v>
      </c>
      <c r="F258" s="10" t="n">
        <f aca="false">E258/'Correction factors'!$B$10</f>
        <v>26.4532</v>
      </c>
      <c r="G258" s="11" t="n">
        <v>510</v>
      </c>
    </row>
    <row r="259" customFormat="false" ht="15" hidden="false" customHeight="false" outlineLevel="0" collapsed="false">
      <c r="A259" s="10" t="n">
        <v>54.4803881645203</v>
      </c>
      <c r="B259" s="11" t="n">
        <v>260</v>
      </c>
      <c r="C259" s="12" t="n">
        <f aca="false">B259*'Correction factors'!$B$7</f>
        <v>1258.14</v>
      </c>
      <c r="D259" s="13" t="n">
        <v>1.687512</v>
      </c>
      <c r="E259" s="14" t="n">
        <v>328</v>
      </c>
      <c r="F259" s="10" t="n">
        <f aca="false">E259/'Correction factors'!$B$10</f>
        <v>26.4532</v>
      </c>
      <c r="G259" s="11" t="n">
        <v>510</v>
      </c>
    </row>
    <row r="260" customFormat="false" ht="15" hidden="false" customHeight="false" outlineLevel="0" collapsed="false">
      <c r="A260" s="10" t="n">
        <v>54.4803881645203</v>
      </c>
      <c r="B260" s="11" t="n">
        <v>260</v>
      </c>
      <c r="C260" s="12" t="n">
        <f aca="false">B260*'Correction factors'!$B$7</f>
        <v>1258.14</v>
      </c>
      <c r="D260" s="13" t="n">
        <v>1.687512</v>
      </c>
      <c r="E260" s="14" t="n">
        <v>328</v>
      </c>
      <c r="F260" s="10" t="n">
        <f aca="false">E260/'Correction factors'!$B$10</f>
        <v>26.4532</v>
      </c>
      <c r="G260" s="11" t="n">
        <v>510</v>
      </c>
    </row>
    <row r="261" customFormat="false" ht="15" hidden="false" customHeight="false" outlineLevel="0" collapsed="false">
      <c r="A261" s="10" t="n">
        <v>54.9313921928406</v>
      </c>
      <c r="B261" s="11" t="n">
        <v>280</v>
      </c>
      <c r="C261" s="12" t="n">
        <f aca="false">B261*'Correction factors'!$B$7</f>
        <v>1354.92</v>
      </c>
      <c r="D261" s="13" t="n">
        <v>1.67769</v>
      </c>
      <c r="E261" s="14" t="n">
        <v>328</v>
      </c>
      <c r="F261" s="10" t="n">
        <f aca="false">E261/'Correction factors'!$B$10</f>
        <v>26.4532</v>
      </c>
      <c r="G261" s="11" t="n">
        <v>510</v>
      </c>
    </row>
    <row r="262" customFormat="false" ht="15" hidden="false" customHeight="false" outlineLevel="0" collapsed="false">
      <c r="A262" s="10" t="n">
        <v>54.9313921928406</v>
      </c>
      <c r="B262" s="11" t="n">
        <v>260</v>
      </c>
      <c r="C262" s="12" t="n">
        <f aca="false">B262*'Correction factors'!$B$7</f>
        <v>1258.14</v>
      </c>
      <c r="D262" s="13" t="n">
        <v>1.67769</v>
      </c>
      <c r="E262" s="14" t="n">
        <v>328</v>
      </c>
      <c r="F262" s="10" t="n">
        <f aca="false">E262/'Correction factors'!$B$10</f>
        <v>26.4532</v>
      </c>
      <c r="G262" s="11" t="n">
        <v>510</v>
      </c>
    </row>
    <row r="263" customFormat="false" ht="15" hidden="false" customHeight="false" outlineLevel="0" collapsed="false">
      <c r="A263" s="10" t="n">
        <v>55.3802931308746</v>
      </c>
      <c r="B263" s="11" t="n">
        <v>260</v>
      </c>
      <c r="C263" s="12" t="n">
        <f aca="false">B263*'Correction factors'!$B$7</f>
        <v>1258.14</v>
      </c>
      <c r="D263" s="13" t="n">
        <v>1.687512</v>
      </c>
      <c r="E263" s="14" t="n">
        <v>320</v>
      </c>
      <c r="F263" s="10" t="n">
        <f aca="false">E263/'Correction factors'!$B$10</f>
        <v>25.808</v>
      </c>
      <c r="G263" s="11" t="n">
        <v>510</v>
      </c>
    </row>
    <row r="264" customFormat="false" ht="15" hidden="false" customHeight="false" outlineLevel="0" collapsed="false">
      <c r="A264" s="10" t="n">
        <v>55.3802931308746</v>
      </c>
      <c r="B264" s="11" t="n">
        <v>280</v>
      </c>
      <c r="C264" s="12" t="n">
        <f aca="false">B264*'Correction factors'!$B$7</f>
        <v>1354.92</v>
      </c>
      <c r="D264" s="13" t="n">
        <v>1.67769</v>
      </c>
      <c r="E264" s="14" t="n">
        <v>328</v>
      </c>
      <c r="F264" s="10" t="n">
        <f aca="false">E264/'Correction factors'!$B$10</f>
        <v>26.4532</v>
      </c>
      <c r="G264" s="11" t="n">
        <v>510</v>
      </c>
    </row>
    <row r="265" customFormat="false" ht="15" hidden="false" customHeight="false" outlineLevel="0" collapsed="false">
      <c r="A265" s="10" t="n">
        <v>55.3802931308746</v>
      </c>
      <c r="B265" s="11" t="n">
        <v>280</v>
      </c>
      <c r="C265" s="12" t="n">
        <f aca="false">B265*'Correction factors'!$B$7</f>
        <v>1354.92</v>
      </c>
      <c r="D265" s="13" t="n">
        <v>1.67769</v>
      </c>
      <c r="E265" s="14" t="n">
        <v>320</v>
      </c>
      <c r="F265" s="10" t="n">
        <f aca="false">E265/'Correction factors'!$B$10</f>
        <v>25.808</v>
      </c>
      <c r="G265" s="11" t="n">
        <v>510</v>
      </c>
    </row>
    <row r="266" customFormat="false" ht="15" hidden="false" customHeight="false" outlineLevel="0" collapsed="false">
      <c r="A266" s="10" t="n">
        <v>55.9253919124603</v>
      </c>
      <c r="B266" s="11" t="n">
        <v>260</v>
      </c>
      <c r="C266" s="12" t="n">
        <f aca="false">B266*'Correction factors'!$B$7</f>
        <v>1258.14</v>
      </c>
      <c r="D266" s="13" t="n">
        <v>1.67769</v>
      </c>
      <c r="E266" s="14" t="n">
        <v>320</v>
      </c>
      <c r="F266" s="10" t="n">
        <f aca="false">E266/'Correction factors'!$B$10</f>
        <v>25.808</v>
      </c>
      <c r="G266" s="11" t="n">
        <v>510</v>
      </c>
    </row>
    <row r="267" customFormat="false" ht="15" hidden="false" customHeight="false" outlineLevel="0" collapsed="false">
      <c r="A267" s="10" t="n">
        <v>55.9253919124603</v>
      </c>
      <c r="B267" s="11" t="n">
        <v>280</v>
      </c>
      <c r="C267" s="12" t="n">
        <f aca="false">B267*'Correction factors'!$B$7</f>
        <v>1354.92</v>
      </c>
      <c r="D267" s="13" t="n">
        <v>1.67769</v>
      </c>
      <c r="E267" s="14" t="n">
        <v>320</v>
      </c>
      <c r="F267" s="10" t="n">
        <f aca="false">E267/'Correction factors'!$B$10</f>
        <v>25.808</v>
      </c>
      <c r="G267" s="11" t="n">
        <v>510</v>
      </c>
    </row>
    <row r="268" customFormat="false" ht="15" hidden="false" customHeight="false" outlineLevel="0" collapsed="false">
      <c r="A268" s="10" t="n">
        <v>56.3772931098938</v>
      </c>
      <c r="B268" s="11" t="n">
        <v>280</v>
      </c>
      <c r="C268" s="12" t="n">
        <f aca="false">B268*'Correction factors'!$B$7</f>
        <v>1354.92</v>
      </c>
      <c r="D268" s="13" t="n">
        <v>1.67769</v>
      </c>
      <c r="E268" s="14" t="n">
        <v>320</v>
      </c>
      <c r="F268" s="10" t="n">
        <f aca="false">E268/'Correction factors'!$B$10</f>
        <v>25.808</v>
      </c>
      <c r="G268" s="11" t="n">
        <v>510</v>
      </c>
    </row>
    <row r="269" customFormat="false" ht="15" hidden="false" customHeight="false" outlineLevel="0" collapsed="false">
      <c r="A269" s="10" t="n">
        <v>56.3772931098938</v>
      </c>
      <c r="B269" s="11" t="n">
        <v>260</v>
      </c>
      <c r="C269" s="12" t="n">
        <f aca="false">B269*'Correction factors'!$B$7</f>
        <v>1258.14</v>
      </c>
      <c r="D269" s="13" t="n">
        <v>1.667868</v>
      </c>
      <c r="E269" s="14" t="n">
        <v>320</v>
      </c>
      <c r="F269" s="10" t="n">
        <f aca="false">E269/'Correction factors'!$B$10</f>
        <v>25.808</v>
      </c>
      <c r="G269" s="11" t="n">
        <v>510</v>
      </c>
    </row>
    <row r="270" customFormat="false" ht="15" hidden="false" customHeight="false" outlineLevel="0" collapsed="false">
      <c r="A270" s="10" t="n">
        <v>56.8375005722046</v>
      </c>
      <c r="B270" s="11" t="n">
        <v>260</v>
      </c>
      <c r="C270" s="12" t="n">
        <f aca="false">B270*'Correction factors'!$B$7</f>
        <v>1258.14</v>
      </c>
      <c r="D270" s="13" t="n">
        <v>1.667868</v>
      </c>
      <c r="E270" s="14" t="n">
        <v>328</v>
      </c>
      <c r="F270" s="10" t="n">
        <f aca="false">E270/'Correction factors'!$B$10</f>
        <v>26.4532</v>
      </c>
      <c r="G270" s="11" t="n">
        <v>510</v>
      </c>
    </row>
    <row r="271" customFormat="false" ht="15" hidden="false" customHeight="false" outlineLevel="0" collapsed="false">
      <c r="A271" s="10" t="n">
        <v>56.8375005722046</v>
      </c>
      <c r="B271" s="11" t="n">
        <v>260</v>
      </c>
      <c r="C271" s="12" t="n">
        <f aca="false">B271*'Correction factors'!$B$7</f>
        <v>1258.14</v>
      </c>
      <c r="D271" s="13" t="n">
        <v>1.667868</v>
      </c>
      <c r="E271" s="14" t="n">
        <v>320</v>
      </c>
      <c r="F271" s="10" t="n">
        <f aca="false">E271/'Correction factors'!$B$10</f>
        <v>25.808</v>
      </c>
      <c r="G271" s="11" t="n">
        <v>510</v>
      </c>
    </row>
    <row r="272" customFormat="false" ht="15" hidden="false" customHeight="false" outlineLevel="0" collapsed="false">
      <c r="A272" s="10" t="n">
        <v>56.8375005722046</v>
      </c>
      <c r="B272" s="11" t="n">
        <v>260</v>
      </c>
      <c r="C272" s="12" t="n">
        <f aca="false">B272*'Correction factors'!$B$7</f>
        <v>1258.14</v>
      </c>
      <c r="D272" s="13" t="n">
        <v>1.667868</v>
      </c>
      <c r="E272" s="14" t="n">
        <v>320</v>
      </c>
      <c r="F272" s="10" t="n">
        <f aca="false">E272/'Correction factors'!$B$10</f>
        <v>25.808</v>
      </c>
      <c r="G272" s="11" t="n">
        <v>510</v>
      </c>
    </row>
    <row r="273" customFormat="false" ht="15" hidden="false" customHeight="false" outlineLevel="0" collapsed="false">
      <c r="A273" s="10" t="n">
        <v>57.3227865695953</v>
      </c>
      <c r="B273" s="11" t="n">
        <v>280</v>
      </c>
      <c r="C273" s="12" t="n">
        <f aca="false">B273*'Correction factors'!$B$7</f>
        <v>1354.92</v>
      </c>
      <c r="D273" s="13" t="n">
        <v>1.667868</v>
      </c>
      <c r="E273" s="14" t="n">
        <v>320</v>
      </c>
      <c r="F273" s="10" t="n">
        <f aca="false">E273/'Correction factors'!$B$10</f>
        <v>25.808</v>
      </c>
      <c r="G273" s="11" t="n">
        <v>510</v>
      </c>
    </row>
    <row r="274" customFormat="false" ht="15" hidden="false" customHeight="false" outlineLevel="0" collapsed="false">
      <c r="A274" s="10" t="n">
        <v>57.3227865695953</v>
      </c>
      <c r="B274" s="11" t="n">
        <v>260</v>
      </c>
      <c r="C274" s="12" t="n">
        <f aca="false">B274*'Correction factors'!$B$7</f>
        <v>1258.14</v>
      </c>
      <c r="D274" s="13" t="n">
        <v>1.658047</v>
      </c>
      <c r="E274" s="14" t="n">
        <v>320</v>
      </c>
      <c r="F274" s="10" t="n">
        <f aca="false">E274/'Correction factors'!$B$10</f>
        <v>25.808</v>
      </c>
      <c r="G274" s="11" t="n">
        <v>510</v>
      </c>
    </row>
    <row r="275" customFormat="false" ht="15" hidden="false" customHeight="false" outlineLevel="0" collapsed="false">
      <c r="A275" s="10" t="n">
        <v>57.7857897281647</v>
      </c>
      <c r="B275" s="11" t="n">
        <v>260</v>
      </c>
      <c r="C275" s="12" t="n">
        <f aca="false">B275*'Correction factors'!$B$7</f>
        <v>1258.14</v>
      </c>
      <c r="D275" s="13" t="n">
        <v>1.658047</v>
      </c>
      <c r="E275" s="14" t="n">
        <v>320</v>
      </c>
      <c r="F275" s="10" t="n">
        <f aca="false">E275/'Correction factors'!$B$10</f>
        <v>25.808</v>
      </c>
      <c r="G275" s="11" t="n">
        <v>510</v>
      </c>
    </row>
    <row r="276" customFormat="false" ht="15" hidden="false" customHeight="false" outlineLevel="0" collapsed="false">
      <c r="A276" s="10" t="n">
        <v>57.7857897281647</v>
      </c>
      <c r="B276" s="11" t="n">
        <v>280</v>
      </c>
      <c r="C276" s="12" t="n">
        <f aca="false">B276*'Correction factors'!$B$7</f>
        <v>1354.92</v>
      </c>
      <c r="D276" s="13" t="n">
        <v>1.658047</v>
      </c>
      <c r="E276" s="14" t="n">
        <v>312</v>
      </c>
      <c r="F276" s="10" t="n">
        <f aca="false">E276/'Correction factors'!$B$10</f>
        <v>25.1628</v>
      </c>
      <c r="G276" s="11" t="n">
        <v>510</v>
      </c>
    </row>
    <row r="277" customFormat="false" ht="15" hidden="false" customHeight="false" outlineLevel="0" collapsed="false">
      <c r="A277" s="10" t="n">
        <v>58.2580342292786</v>
      </c>
      <c r="B277" s="11" t="n">
        <v>260</v>
      </c>
      <c r="C277" s="12" t="n">
        <f aca="false">B277*'Correction factors'!$B$7</f>
        <v>1258.14</v>
      </c>
      <c r="D277" s="13" t="n">
        <v>1.658047</v>
      </c>
      <c r="E277" s="14" t="n">
        <v>320</v>
      </c>
      <c r="F277" s="10" t="n">
        <f aca="false">E277/'Correction factors'!$B$10</f>
        <v>25.808</v>
      </c>
      <c r="G277" s="11" t="n">
        <v>510</v>
      </c>
    </row>
    <row r="278" customFormat="false" ht="15" hidden="false" customHeight="false" outlineLevel="0" collapsed="false">
      <c r="A278" s="10" t="n">
        <v>58.2580342292786</v>
      </c>
      <c r="B278" s="11" t="n">
        <v>260</v>
      </c>
      <c r="C278" s="12" t="n">
        <f aca="false">B278*'Correction factors'!$B$7</f>
        <v>1258.14</v>
      </c>
      <c r="D278" s="13" t="n">
        <v>1.658047</v>
      </c>
      <c r="E278" s="14" t="n">
        <v>312</v>
      </c>
      <c r="F278" s="10" t="n">
        <f aca="false">E278/'Correction factors'!$B$10</f>
        <v>25.1628</v>
      </c>
      <c r="G278" s="11" t="n">
        <v>510</v>
      </c>
    </row>
    <row r="279" customFormat="false" ht="15" hidden="false" customHeight="false" outlineLevel="0" collapsed="false">
      <c r="A279" s="10" t="n">
        <v>58.7118847370148</v>
      </c>
      <c r="B279" s="11" t="n">
        <v>260</v>
      </c>
      <c r="C279" s="12" t="n">
        <f aca="false">B279*'Correction factors'!$B$7</f>
        <v>1258.14</v>
      </c>
      <c r="D279" s="13" t="n">
        <v>1.658047</v>
      </c>
      <c r="E279" s="14" t="n">
        <v>320</v>
      </c>
      <c r="F279" s="10" t="n">
        <f aca="false">E279/'Correction factors'!$B$10</f>
        <v>25.808</v>
      </c>
      <c r="G279" s="11" t="n">
        <v>510</v>
      </c>
    </row>
    <row r="280" customFormat="false" ht="15" hidden="false" customHeight="false" outlineLevel="0" collapsed="false">
      <c r="A280" s="10" t="n">
        <v>58.7118847370148</v>
      </c>
      <c r="B280" s="11" t="n">
        <v>280</v>
      </c>
      <c r="C280" s="12" t="n">
        <f aca="false">B280*'Correction factors'!$B$7</f>
        <v>1354.92</v>
      </c>
      <c r="D280" s="13" t="n">
        <v>1.648225</v>
      </c>
      <c r="E280" s="14" t="n">
        <v>320</v>
      </c>
      <c r="F280" s="10" t="n">
        <f aca="false">E280/'Correction factors'!$B$10</f>
        <v>25.808</v>
      </c>
      <c r="G280" s="11" t="n">
        <v>510</v>
      </c>
    </row>
    <row r="281" customFormat="false" ht="15" hidden="false" customHeight="false" outlineLevel="0" collapsed="false">
      <c r="A281" s="10" t="n">
        <v>58.7118847370148</v>
      </c>
      <c r="B281" s="11" t="n">
        <v>260</v>
      </c>
      <c r="C281" s="12" t="n">
        <f aca="false">B281*'Correction factors'!$B$7</f>
        <v>1258.14</v>
      </c>
      <c r="D281" s="13" t="n">
        <v>1.638404</v>
      </c>
      <c r="E281" s="14" t="n">
        <v>312</v>
      </c>
      <c r="F281" s="10" t="n">
        <f aca="false">E281/'Correction factors'!$B$10</f>
        <v>25.1628</v>
      </c>
      <c r="G281" s="11" t="n">
        <v>510</v>
      </c>
    </row>
    <row r="282" customFormat="false" ht="15" hidden="false" customHeight="false" outlineLevel="0" collapsed="false">
      <c r="A282" s="10" t="n">
        <v>59.2027862071991</v>
      </c>
      <c r="B282" s="11" t="n">
        <v>260</v>
      </c>
      <c r="C282" s="12" t="n">
        <f aca="false">B282*'Correction factors'!$B$7</f>
        <v>1258.14</v>
      </c>
      <c r="D282" s="13" t="n">
        <v>1.648225</v>
      </c>
      <c r="E282" s="14" t="n">
        <v>320</v>
      </c>
      <c r="F282" s="10" t="n">
        <f aca="false">E282/'Correction factors'!$B$10</f>
        <v>25.808</v>
      </c>
      <c r="G282" s="11" t="n">
        <v>510</v>
      </c>
    </row>
    <row r="283" customFormat="false" ht="15" hidden="false" customHeight="false" outlineLevel="0" collapsed="false">
      <c r="A283" s="10" t="n">
        <v>59.2027862071991</v>
      </c>
      <c r="B283" s="11" t="n">
        <v>260</v>
      </c>
      <c r="C283" s="12" t="n">
        <f aca="false">B283*'Correction factors'!$B$7</f>
        <v>1258.14</v>
      </c>
      <c r="D283" s="13" t="n">
        <v>1.648225</v>
      </c>
      <c r="E283" s="14" t="n">
        <v>312</v>
      </c>
      <c r="F283" s="10" t="n">
        <f aca="false">E283/'Correction factors'!$B$10</f>
        <v>25.1628</v>
      </c>
      <c r="G283" s="11" t="n">
        <v>510</v>
      </c>
    </row>
    <row r="284" customFormat="false" ht="15" hidden="false" customHeight="false" outlineLevel="0" collapsed="false">
      <c r="A284" s="10" t="n">
        <v>59.6501619815826</v>
      </c>
      <c r="B284" s="11" t="n">
        <v>260</v>
      </c>
      <c r="C284" s="12" t="n">
        <f aca="false">B284*'Correction factors'!$B$7</f>
        <v>1258.14</v>
      </c>
      <c r="D284" s="13" t="n">
        <v>1.648225</v>
      </c>
      <c r="E284" s="14" t="n">
        <v>320</v>
      </c>
      <c r="F284" s="10" t="n">
        <f aca="false">E284/'Correction factors'!$B$10</f>
        <v>25.808</v>
      </c>
      <c r="G284" s="11" t="n">
        <v>510</v>
      </c>
    </row>
    <row r="285" customFormat="false" ht="15" hidden="false" customHeight="false" outlineLevel="0" collapsed="false">
      <c r="A285" s="10" t="n">
        <v>59.6501619815826</v>
      </c>
      <c r="B285" s="11" t="n">
        <v>240</v>
      </c>
      <c r="C285" s="12" t="n">
        <f aca="false">B285*'Correction factors'!$B$7</f>
        <v>1161.36</v>
      </c>
      <c r="D285" s="13" t="n">
        <v>1.638404</v>
      </c>
      <c r="E285" s="14" t="n">
        <v>320</v>
      </c>
      <c r="F285" s="10" t="n">
        <f aca="false">E285/'Correction factors'!$B$10</f>
        <v>25.808</v>
      </c>
      <c r="G285" s="11" t="n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5"/>
    <col collapsed="false" customWidth="true" hidden="false" outlineLevel="0" max="6" min="5" style="0" width="20"/>
    <col collapsed="false" customWidth="true" hidden="false" outlineLevel="0" max="7" min="7" style="0" width="15"/>
  </cols>
  <sheetData>
    <row r="1" customFormat="false" ht="30" hidden="false" customHeight="tru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</row>
    <row r="2" customFormat="false" ht="15" hidden="false" customHeight="false" outlineLevel="0" collapsed="false">
      <c r="A2" s="10" t="n">
        <v>1.43940401077271</v>
      </c>
      <c r="B2" s="11" t="n">
        <v>0</v>
      </c>
      <c r="C2" s="12" t="n">
        <f aca="false">B2*'Correction factors'!$B$7</f>
        <v>0</v>
      </c>
      <c r="D2" s="13" t="n">
        <v>1.049108</v>
      </c>
      <c r="E2" s="14" t="n">
        <v>0</v>
      </c>
      <c r="F2" s="10" t="n">
        <f aca="false">E2/'Correction factors'!$B$10</f>
        <v>0</v>
      </c>
      <c r="G2" s="11" t="n">
        <v>510</v>
      </c>
    </row>
    <row r="3" customFormat="false" ht="15" hidden="false" customHeight="false" outlineLevel="0" collapsed="false">
      <c r="A3" s="10" t="n">
        <v>1.89116907119751</v>
      </c>
      <c r="B3" s="11" t="n">
        <v>0</v>
      </c>
      <c r="C3" s="12" t="n">
        <f aca="false">B3*'Correction factors'!$B$7</f>
        <v>0</v>
      </c>
      <c r="D3" s="13" t="n">
        <v>1.05893</v>
      </c>
      <c r="E3" s="14" t="n">
        <v>0</v>
      </c>
      <c r="F3" s="10" t="n">
        <f aca="false">E3/'Correction factors'!$B$10</f>
        <v>0</v>
      </c>
      <c r="G3" s="11" t="n">
        <v>510</v>
      </c>
    </row>
    <row r="4" customFormat="false" ht="15" hidden="false" customHeight="false" outlineLevel="0" collapsed="false">
      <c r="A4" s="10" t="n">
        <v>1.89116907119751</v>
      </c>
      <c r="B4" s="11" t="n">
        <v>0</v>
      </c>
      <c r="C4" s="12" t="n">
        <f aca="false">B4*'Correction factors'!$B$7</f>
        <v>0</v>
      </c>
      <c r="D4" s="13" t="n">
        <v>1.049108</v>
      </c>
      <c r="E4" s="14" t="n">
        <v>0</v>
      </c>
      <c r="F4" s="10" t="n">
        <f aca="false">E4/'Correction factors'!$B$10</f>
        <v>0</v>
      </c>
      <c r="G4" s="11" t="n">
        <v>510</v>
      </c>
    </row>
    <row r="5" customFormat="false" ht="15" hidden="false" customHeight="false" outlineLevel="0" collapsed="false">
      <c r="A5" s="10" t="n">
        <v>1.89116907119751</v>
      </c>
      <c r="B5" s="11" t="n">
        <v>0</v>
      </c>
      <c r="C5" s="12" t="n">
        <f aca="false">B5*'Correction factors'!$B$7</f>
        <v>0</v>
      </c>
      <c r="D5" s="13" t="n">
        <v>1.05893</v>
      </c>
      <c r="E5" s="14" t="n">
        <v>0</v>
      </c>
      <c r="F5" s="10" t="n">
        <f aca="false">E5/'Correction factors'!$B$10</f>
        <v>0</v>
      </c>
      <c r="G5" s="11" t="n">
        <v>510</v>
      </c>
    </row>
    <row r="6" customFormat="false" ht="15" hidden="false" customHeight="false" outlineLevel="0" collapsed="false">
      <c r="A6" s="10" t="n">
        <v>2.43360805511475</v>
      </c>
      <c r="B6" s="11" t="n">
        <v>0</v>
      </c>
      <c r="C6" s="12" t="n">
        <f aca="false">B6*'Correction factors'!$B$7</f>
        <v>0</v>
      </c>
      <c r="D6" s="13" t="n">
        <v>1.05893</v>
      </c>
      <c r="E6" s="14" t="n">
        <v>0</v>
      </c>
      <c r="F6" s="10" t="n">
        <f aca="false">E6/'Correction factors'!$B$10</f>
        <v>0</v>
      </c>
      <c r="G6" s="11" t="n">
        <v>510</v>
      </c>
    </row>
    <row r="7" customFormat="false" ht="15" hidden="false" customHeight="false" outlineLevel="0" collapsed="false">
      <c r="A7" s="10" t="n">
        <v>2.43360805511475</v>
      </c>
      <c r="B7" s="11" t="n">
        <v>0</v>
      </c>
      <c r="C7" s="12" t="n">
        <f aca="false">B7*'Correction factors'!$B$7</f>
        <v>0</v>
      </c>
      <c r="D7" s="13" t="n">
        <v>1.05893</v>
      </c>
      <c r="E7" s="14" t="n">
        <v>0</v>
      </c>
      <c r="F7" s="10" t="n">
        <f aca="false">E7/'Correction factors'!$B$10</f>
        <v>0</v>
      </c>
      <c r="G7" s="11" t="n">
        <v>510</v>
      </c>
    </row>
    <row r="8" customFormat="false" ht="15" hidden="false" customHeight="false" outlineLevel="0" collapsed="false">
      <c r="A8" s="10" t="n">
        <v>2.85773038864136</v>
      </c>
      <c r="B8" s="11" t="n">
        <v>0</v>
      </c>
      <c r="C8" s="12" t="n">
        <f aca="false">B8*'Correction factors'!$B$7</f>
        <v>0</v>
      </c>
      <c r="D8" s="13" t="n">
        <v>1.05893</v>
      </c>
      <c r="E8" s="14" t="n">
        <v>0</v>
      </c>
      <c r="F8" s="10" t="n">
        <f aca="false">E8/'Correction factors'!$B$10</f>
        <v>0</v>
      </c>
      <c r="G8" s="11" t="n">
        <v>510</v>
      </c>
    </row>
    <row r="9" customFormat="false" ht="15" hidden="false" customHeight="false" outlineLevel="0" collapsed="false">
      <c r="A9" s="10" t="n">
        <v>2.85773038864136</v>
      </c>
      <c r="B9" s="11" t="n">
        <v>0</v>
      </c>
      <c r="C9" s="12" t="n">
        <f aca="false">B9*'Correction factors'!$B$7</f>
        <v>0</v>
      </c>
      <c r="D9" s="13" t="n">
        <v>1.049108</v>
      </c>
      <c r="E9" s="14" t="n">
        <v>0</v>
      </c>
      <c r="F9" s="10" t="n">
        <f aca="false">E9/'Correction factors'!$B$10</f>
        <v>0</v>
      </c>
      <c r="G9" s="11" t="n">
        <v>510</v>
      </c>
    </row>
    <row r="10" customFormat="false" ht="15" hidden="false" customHeight="false" outlineLevel="0" collapsed="false">
      <c r="A10" s="10" t="n">
        <v>3.30294013023377</v>
      </c>
      <c r="B10" s="11" t="n">
        <v>0</v>
      </c>
      <c r="C10" s="12" t="n">
        <f aca="false">B10*'Correction factors'!$B$7</f>
        <v>0</v>
      </c>
      <c r="D10" s="13" t="n">
        <v>1.05893</v>
      </c>
      <c r="E10" s="14" t="n">
        <v>0</v>
      </c>
      <c r="F10" s="10" t="n">
        <f aca="false">E10/'Correction factors'!$B$10</f>
        <v>0</v>
      </c>
      <c r="G10" s="11" t="n">
        <v>510</v>
      </c>
    </row>
    <row r="11" customFormat="false" ht="15" hidden="false" customHeight="false" outlineLevel="0" collapsed="false">
      <c r="A11" s="10" t="n">
        <v>3.30294013023377</v>
      </c>
      <c r="B11" s="11" t="n">
        <v>0</v>
      </c>
      <c r="C11" s="12" t="n">
        <f aca="false">B11*'Correction factors'!$B$7</f>
        <v>0</v>
      </c>
      <c r="D11" s="13" t="n">
        <v>1.05893</v>
      </c>
      <c r="E11" s="14" t="n">
        <v>0</v>
      </c>
      <c r="F11" s="10" t="n">
        <f aca="false">E11/'Correction factors'!$B$10</f>
        <v>0</v>
      </c>
      <c r="G11" s="11" t="n">
        <v>510</v>
      </c>
    </row>
    <row r="12" customFormat="false" ht="15" hidden="false" customHeight="false" outlineLevel="0" collapsed="false">
      <c r="A12" s="10" t="n">
        <v>3.76039457321167</v>
      </c>
      <c r="B12" s="11" t="n">
        <v>0</v>
      </c>
      <c r="C12" s="12" t="n">
        <f aca="false">B12*'Correction factors'!$B$7</f>
        <v>0</v>
      </c>
      <c r="D12" s="13" t="n">
        <v>1.05893</v>
      </c>
      <c r="E12" s="14" t="n">
        <v>0</v>
      </c>
      <c r="F12" s="10" t="n">
        <f aca="false">E12/'Correction factors'!$B$10</f>
        <v>0</v>
      </c>
      <c r="G12" s="11" t="n">
        <v>510</v>
      </c>
    </row>
    <row r="13" customFormat="false" ht="15" hidden="false" customHeight="false" outlineLevel="0" collapsed="false">
      <c r="A13" s="10" t="n">
        <v>3.76039457321167</v>
      </c>
      <c r="B13" s="11" t="n">
        <v>0</v>
      </c>
      <c r="C13" s="12" t="n">
        <f aca="false">B13*'Correction factors'!$B$7</f>
        <v>0</v>
      </c>
      <c r="D13" s="13" t="n">
        <v>1.05893</v>
      </c>
      <c r="E13" s="14" t="n">
        <v>0</v>
      </c>
      <c r="F13" s="10" t="n">
        <f aca="false">E13/'Correction factors'!$B$10</f>
        <v>0</v>
      </c>
      <c r="G13" s="11" t="n">
        <v>510</v>
      </c>
    </row>
    <row r="14" customFormat="false" ht="15" hidden="false" customHeight="false" outlineLevel="0" collapsed="false">
      <c r="A14" s="10" t="n">
        <v>3.76039457321167</v>
      </c>
      <c r="B14" s="11" t="n">
        <v>0</v>
      </c>
      <c r="C14" s="12" t="n">
        <f aca="false">B14*'Correction factors'!$B$7</f>
        <v>0</v>
      </c>
      <c r="D14" s="13" t="n">
        <v>1.049108</v>
      </c>
      <c r="E14" s="14" t="n">
        <v>0</v>
      </c>
      <c r="F14" s="10" t="n">
        <f aca="false">E14/'Correction factors'!$B$10</f>
        <v>0</v>
      </c>
      <c r="G14" s="11" t="n">
        <v>510</v>
      </c>
    </row>
    <row r="15" customFormat="false" ht="15" hidden="false" customHeight="false" outlineLevel="0" collapsed="false">
      <c r="A15" s="10" t="n">
        <v>4.26395201683044</v>
      </c>
      <c r="B15" s="11" t="n">
        <v>0</v>
      </c>
      <c r="C15" s="12" t="n">
        <f aca="false">B15*'Correction factors'!$B$7</f>
        <v>0</v>
      </c>
      <c r="D15" s="13" t="n">
        <v>1.049108</v>
      </c>
      <c r="E15" s="14" t="n">
        <v>0</v>
      </c>
      <c r="F15" s="10" t="n">
        <f aca="false">E15/'Correction factors'!$B$10</f>
        <v>0</v>
      </c>
      <c r="G15" s="11" t="n">
        <v>510</v>
      </c>
    </row>
    <row r="16" customFormat="false" ht="15" hidden="false" customHeight="false" outlineLevel="0" collapsed="false">
      <c r="A16" s="10" t="n">
        <v>4.26395201683044</v>
      </c>
      <c r="B16" s="11" t="n">
        <v>0</v>
      </c>
      <c r="C16" s="12" t="n">
        <f aca="false">B16*'Correction factors'!$B$7</f>
        <v>0</v>
      </c>
      <c r="D16" s="13" t="n">
        <v>1.05893</v>
      </c>
      <c r="E16" s="14" t="n">
        <v>0</v>
      </c>
      <c r="F16" s="10" t="n">
        <f aca="false">E16/'Correction factors'!$B$10</f>
        <v>0</v>
      </c>
      <c r="G16" s="11" t="n">
        <v>510</v>
      </c>
    </row>
    <row r="17" customFormat="false" ht="15" hidden="false" customHeight="false" outlineLevel="0" collapsed="false">
      <c r="A17" s="10" t="n">
        <v>4.73206996917725</v>
      </c>
      <c r="B17" s="11" t="n">
        <v>0</v>
      </c>
      <c r="C17" s="12" t="n">
        <f aca="false">B17*'Correction factors'!$B$7</f>
        <v>0</v>
      </c>
      <c r="D17" s="13" t="n">
        <v>1.05893</v>
      </c>
      <c r="E17" s="14" t="n">
        <v>0</v>
      </c>
      <c r="F17" s="10" t="n">
        <f aca="false">E17/'Correction factors'!$B$10</f>
        <v>0</v>
      </c>
      <c r="G17" s="11" t="n">
        <v>510</v>
      </c>
    </row>
    <row r="18" customFormat="false" ht="15" hidden="false" customHeight="false" outlineLevel="0" collapsed="false">
      <c r="A18" s="10" t="n">
        <v>4.73206996917725</v>
      </c>
      <c r="B18" s="11" t="n">
        <v>0</v>
      </c>
      <c r="C18" s="12" t="n">
        <f aca="false">B18*'Correction factors'!$B$7</f>
        <v>0</v>
      </c>
      <c r="D18" s="13" t="n">
        <v>1.05893</v>
      </c>
      <c r="E18" s="14" t="n">
        <v>0</v>
      </c>
      <c r="F18" s="10" t="n">
        <f aca="false">E18/'Correction factors'!$B$10</f>
        <v>0</v>
      </c>
      <c r="G18" s="11" t="n">
        <v>510</v>
      </c>
    </row>
    <row r="19" customFormat="false" ht="15" hidden="false" customHeight="false" outlineLevel="0" collapsed="false">
      <c r="A19" s="10" t="n">
        <v>5.16425228118897</v>
      </c>
      <c r="B19" s="11" t="n">
        <v>0</v>
      </c>
      <c r="C19" s="12" t="n">
        <f aca="false">B19*'Correction factors'!$B$7</f>
        <v>0</v>
      </c>
      <c r="D19" s="13" t="n">
        <v>1.05893</v>
      </c>
      <c r="E19" s="14" t="n">
        <v>0</v>
      </c>
      <c r="F19" s="10" t="n">
        <f aca="false">E19/'Correction factors'!$B$10</f>
        <v>0</v>
      </c>
      <c r="G19" s="11" t="n">
        <v>510</v>
      </c>
    </row>
    <row r="20" customFormat="false" ht="15" hidden="false" customHeight="false" outlineLevel="0" collapsed="false">
      <c r="A20" s="10" t="n">
        <v>5.16425228118897</v>
      </c>
      <c r="B20" s="11" t="n">
        <v>0</v>
      </c>
      <c r="C20" s="12" t="n">
        <f aca="false">B20*'Correction factors'!$B$7</f>
        <v>0</v>
      </c>
      <c r="D20" s="13" t="n">
        <v>1.05893</v>
      </c>
      <c r="E20" s="14" t="n">
        <v>0</v>
      </c>
      <c r="F20" s="10" t="n">
        <f aca="false">E20/'Correction factors'!$B$10</f>
        <v>0</v>
      </c>
      <c r="G20" s="11" t="n">
        <v>510</v>
      </c>
    </row>
    <row r="21" customFormat="false" ht="15" hidden="false" customHeight="false" outlineLevel="0" collapsed="false">
      <c r="A21" s="10" t="n">
        <v>5.16425228118897</v>
      </c>
      <c r="B21" s="11" t="n">
        <v>0</v>
      </c>
      <c r="C21" s="12" t="n">
        <f aca="false">B21*'Correction factors'!$B$7</f>
        <v>0</v>
      </c>
      <c r="D21" s="13" t="n">
        <v>1.049108</v>
      </c>
      <c r="E21" s="14" t="n">
        <v>0</v>
      </c>
      <c r="F21" s="10" t="n">
        <f aca="false">E21/'Correction factors'!$B$10</f>
        <v>0</v>
      </c>
      <c r="G21" s="11" t="n">
        <v>510</v>
      </c>
    </row>
    <row r="22" customFormat="false" ht="15" hidden="false" customHeight="false" outlineLevel="0" collapsed="false">
      <c r="A22" s="10" t="n">
        <v>5.68030023574829</v>
      </c>
      <c r="B22" s="11" t="n">
        <v>0</v>
      </c>
      <c r="C22" s="12" t="n">
        <f aca="false">B22*'Correction factors'!$B$7</f>
        <v>0</v>
      </c>
      <c r="D22" s="13" t="n">
        <v>1.05893</v>
      </c>
      <c r="E22" s="14" t="n">
        <v>0</v>
      </c>
      <c r="F22" s="10" t="n">
        <f aca="false">E22/'Correction factors'!$B$10</f>
        <v>0</v>
      </c>
      <c r="G22" s="11" t="n">
        <v>510</v>
      </c>
    </row>
    <row r="23" customFormat="false" ht="15" hidden="false" customHeight="false" outlineLevel="0" collapsed="false">
      <c r="A23" s="10" t="n">
        <v>5.68030023574829</v>
      </c>
      <c r="B23" s="11" t="n">
        <v>0</v>
      </c>
      <c r="C23" s="12" t="n">
        <f aca="false">B23*'Correction factors'!$B$7</f>
        <v>0</v>
      </c>
      <c r="D23" s="13" t="n">
        <v>1.05893</v>
      </c>
      <c r="E23" s="14" t="n">
        <v>0</v>
      </c>
      <c r="F23" s="10" t="n">
        <f aca="false">E23/'Correction factors'!$B$10</f>
        <v>0</v>
      </c>
      <c r="G23" s="11" t="n">
        <v>510</v>
      </c>
    </row>
    <row r="24" customFormat="false" ht="15" hidden="false" customHeight="false" outlineLevel="0" collapsed="false">
      <c r="A24" s="10" t="n">
        <v>6.13153004646301</v>
      </c>
      <c r="B24" s="11" t="n">
        <v>0</v>
      </c>
      <c r="C24" s="12" t="n">
        <f aca="false">B24*'Correction factors'!$B$7</f>
        <v>0</v>
      </c>
      <c r="D24" s="13" t="n">
        <v>1.05893</v>
      </c>
      <c r="E24" s="14" t="n">
        <v>0</v>
      </c>
      <c r="F24" s="10" t="n">
        <f aca="false">E24/'Correction factors'!$B$10</f>
        <v>0</v>
      </c>
      <c r="G24" s="11" t="n">
        <v>510</v>
      </c>
    </row>
    <row r="25" customFormat="false" ht="15" hidden="false" customHeight="false" outlineLevel="0" collapsed="false">
      <c r="A25" s="10" t="n">
        <v>6.13153004646301</v>
      </c>
      <c r="B25" s="11" t="n">
        <v>0</v>
      </c>
      <c r="C25" s="12" t="n">
        <f aca="false">B25*'Correction factors'!$B$7</f>
        <v>0</v>
      </c>
      <c r="D25" s="13" t="n">
        <v>1.05893</v>
      </c>
      <c r="E25" s="14" t="n">
        <v>0</v>
      </c>
      <c r="F25" s="10" t="n">
        <f aca="false">E25/'Correction factors'!$B$10</f>
        <v>0</v>
      </c>
      <c r="G25" s="11" t="n">
        <v>510</v>
      </c>
    </row>
    <row r="26" customFormat="false" ht="15" hidden="false" customHeight="false" outlineLevel="0" collapsed="false">
      <c r="A26" s="10" t="n">
        <v>6.61326122283936</v>
      </c>
      <c r="B26" s="11" t="n">
        <v>0</v>
      </c>
      <c r="C26" s="12" t="n">
        <f aca="false">B26*'Correction factors'!$B$7</f>
        <v>0</v>
      </c>
      <c r="D26" s="13" t="n">
        <v>1.05893</v>
      </c>
      <c r="E26" s="14" t="n">
        <v>0</v>
      </c>
      <c r="F26" s="10" t="n">
        <f aca="false">E26/'Correction factors'!$B$10</f>
        <v>0</v>
      </c>
      <c r="G26" s="11" t="n">
        <v>510</v>
      </c>
    </row>
    <row r="27" customFormat="false" ht="15" hidden="false" customHeight="false" outlineLevel="0" collapsed="false">
      <c r="A27" s="10" t="n">
        <v>6.61326122283936</v>
      </c>
      <c r="B27" s="11" t="n">
        <v>0</v>
      </c>
      <c r="C27" s="12" t="n">
        <f aca="false">B27*'Correction factors'!$B$7</f>
        <v>0</v>
      </c>
      <c r="D27" s="13" t="n">
        <v>1.049108</v>
      </c>
      <c r="E27" s="14" t="n">
        <v>0</v>
      </c>
      <c r="F27" s="10" t="n">
        <f aca="false">E27/'Correction factors'!$B$10</f>
        <v>0</v>
      </c>
      <c r="G27" s="11" t="n">
        <v>510</v>
      </c>
    </row>
    <row r="28" customFormat="false" ht="15" hidden="false" customHeight="false" outlineLevel="0" collapsed="false">
      <c r="A28" s="10" t="n">
        <v>6.61326122283936</v>
      </c>
      <c r="B28" s="11" t="n">
        <v>0</v>
      </c>
      <c r="C28" s="12" t="n">
        <f aca="false">B28*'Correction factors'!$B$7</f>
        <v>0</v>
      </c>
      <c r="D28" s="13" t="n">
        <v>1.049108</v>
      </c>
      <c r="E28" s="14" t="n">
        <v>0</v>
      </c>
      <c r="F28" s="10" t="n">
        <f aca="false">E28/'Correction factors'!$B$10</f>
        <v>0</v>
      </c>
      <c r="G28" s="11" t="n">
        <v>510</v>
      </c>
    </row>
    <row r="29" customFormat="false" ht="15" hidden="false" customHeight="false" outlineLevel="0" collapsed="false">
      <c r="A29" s="10" t="n">
        <v>7.16645550727844</v>
      </c>
      <c r="B29" s="11" t="n">
        <v>0</v>
      </c>
      <c r="C29" s="12" t="n">
        <f aca="false">B29*'Correction factors'!$B$7</f>
        <v>0</v>
      </c>
      <c r="D29" s="13" t="n">
        <v>1.05893</v>
      </c>
      <c r="E29" s="14" t="n">
        <v>0</v>
      </c>
      <c r="F29" s="10" t="n">
        <f aca="false">E29/'Correction factors'!$B$10</f>
        <v>0</v>
      </c>
      <c r="G29" s="11" t="n">
        <v>510</v>
      </c>
    </row>
    <row r="30" customFormat="false" ht="15" hidden="false" customHeight="false" outlineLevel="0" collapsed="false">
      <c r="A30" s="10" t="n">
        <v>7.16645550727844</v>
      </c>
      <c r="B30" s="11" t="n">
        <v>0</v>
      </c>
      <c r="C30" s="12" t="n">
        <f aca="false">B30*'Correction factors'!$B$7</f>
        <v>0</v>
      </c>
      <c r="D30" s="13" t="n">
        <v>1.049108</v>
      </c>
      <c r="E30" s="14" t="n">
        <v>0</v>
      </c>
      <c r="F30" s="10" t="n">
        <f aca="false">E30/'Correction factors'!$B$10</f>
        <v>0</v>
      </c>
      <c r="G30" s="11" t="n">
        <v>510</v>
      </c>
    </row>
    <row r="31" customFormat="false" ht="15" hidden="false" customHeight="false" outlineLevel="0" collapsed="false">
      <c r="A31" s="10" t="n">
        <v>7.63652968406677</v>
      </c>
      <c r="B31" s="11" t="n">
        <v>0</v>
      </c>
      <c r="C31" s="12" t="n">
        <f aca="false">B31*'Correction factors'!$B$7</f>
        <v>0</v>
      </c>
      <c r="D31" s="13" t="n">
        <v>1.05893</v>
      </c>
      <c r="E31" s="14" t="n">
        <v>0</v>
      </c>
      <c r="F31" s="10" t="n">
        <f aca="false">E31/'Correction factors'!$B$10</f>
        <v>0</v>
      </c>
      <c r="G31" s="11" t="n">
        <v>510</v>
      </c>
    </row>
    <row r="32" customFormat="false" ht="15" hidden="false" customHeight="false" outlineLevel="0" collapsed="false">
      <c r="A32" s="10" t="n">
        <v>7.63652968406677</v>
      </c>
      <c r="B32" s="11" t="n">
        <v>0</v>
      </c>
      <c r="C32" s="12" t="n">
        <f aca="false">B32*'Correction factors'!$B$7</f>
        <v>0</v>
      </c>
      <c r="D32" s="13" t="n">
        <v>1.049108</v>
      </c>
      <c r="E32" s="14" t="n">
        <v>0</v>
      </c>
      <c r="F32" s="10" t="n">
        <f aca="false">E32/'Correction factors'!$B$10</f>
        <v>0</v>
      </c>
      <c r="G32" s="11" t="n">
        <v>510</v>
      </c>
    </row>
    <row r="33" customFormat="false" ht="15" hidden="false" customHeight="false" outlineLevel="0" collapsed="false">
      <c r="A33" s="10" t="n">
        <v>7.63652968406677</v>
      </c>
      <c r="B33" s="11" t="n">
        <v>0</v>
      </c>
      <c r="C33" s="12" t="n">
        <f aca="false">B33*'Correction factors'!$B$7</f>
        <v>0</v>
      </c>
      <c r="D33" s="13" t="n">
        <v>1.05893</v>
      </c>
      <c r="E33" s="14" t="n">
        <v>0</v>
      </c>
      <c r="F33" s="10" t="n">
        <f aca="false">E33/'Correction factors'!$B$10</f>
        <v>0</v>
      </c>
      <c r="G33" s="11" t="n">
        <v>510</v>
      </c>
    </row>
    <row r="34" customFormat="false" ht="15" hidden="false" customHeight="false" outlineLevel="0" collapsed="false">
      <c r="A34" s="10" t="n">
        <v>8.15424060821533</v>
      </c>
      <c r="B34" s="11" t="n">
        <v>0</v>
      </c>
      <c r="C34" s="12" t="n">
        <f aca="false">B34*'Correction factors'!$B$7</f>
        <v>0</v>
      </c>
      <c r="D34" s="13" t="n">
        <v>1.068751</v>
      </c>
      <c r="E34" s="14" t="n">
        <v>0</v>
      </c>
      <c r="F34" s="10" t="n">
        <f aca="false">E34/'Correction factors'!$B$10</f>
        <v>0</v>
      </c>
      <c r="G34" s="11" t="n">
        <v>510</v>
      </c>
    </row>
    <row r="35" customFormat="false" ht="15" hidden="false" customHeight="false" outlineLevel="0" collapsed="false">
      <c r="A35" s="10" t="n">
        <v>8.15424060821533</v>
      </c>
      <c r="B35" s="11" t="n">
        <v>0</v>
      </c>
      <c r="C35" s="12" t="n">
        <f aca="false">B35*'Correction factors'!$B$7</f>
        <v>0</v>
      </c>
      <c r="D35" s="13" t="n">
        <v>1.049108</v>
      </c>
      <c r="E35" s="14" t="n">
        <v>0</v>
      </c>
      <c r="F35" s="10" t="n">
        <f aca="false">E35/'Correction factors'!$B$10</f>
        <v>0</v>
      </c>
      <c r="G35" s="11" t="n">
        <v>510</v>
      </c>
    </row>
    <row r="36" customFormat="false" ht="15" hidden="false" customHeight="false" outlineLevel="0" collapsed="false">
      <c r="A36" s="10" t="n">
        <v>8.60311460494995</v>
      </c>
      <c r="B36" s="11" t="n">
        <v>0</v>
      </c>
      <c r="C36" s="12" t="n">
        <f aca="false">B36*'Correction factors'!$B$7</f>
        <v>0</v>
      </c>
      <c r="D36" s="13" t="n">
        <v>1.05893</v>
      </c>
      <c r="E36" s="14" t="n">
        <v>0</v>
      </c>
      <c r="F36" s="10" t="n">
        <f aca="false">E36/'Correction factors'!$B$10</f>
        <v>0</v>
      </c>
      <c r="G36" s="11" t="n">
        <v>510</v>
      </c>
    </row>
    <row r="37" customFormat="false" ht="15" hidden="false" customHeight="false" outlineLevel="0" collapsed="false">
      <c r="A37" s="10" t="n">
        <v>8.60311460494995</v>
      </c>
      <c r="B37" s="11" t="n">
        <v>0</v>
      </c>
      <c r="C37" s="12" t="n">
        <f aca="false">B37*'Correction factors'!$B$7</f>
        <v>0</v>
      </c>
      <c r="D37" s="13" t="n">
        <v>1.049108</v>
      </c>
      <c r="E37" s="14" t="n">
        <v>0</v>
      </c>
      <c r="F37" s="10" t="n">
        <f aca="false">E37/'Correction factors'!$B$10</f>
        <v>0</v>
      </c>
      <c r="G37" s="11" t="n">
        <v>510</v>
      </c>
    </row>
    <row r="38" customFormat="false" ht="15" hidden="false" customHeight="false" outlineLevel="0" collapsed="false">
      <c r="A38" s="10" t="n">
        <v>9.06376314163208</v>
      </c>
      <c r="B38" s="11" t="n">
        <v>0</v>
      </c>
      <c r="C38" s="12" t="n">
        <f aca="false">B38*'Correction factors'!$B$7</f>
        <v>0</v>
      </c>
      <c r="D38" s="13" t="n">
        <v>1.05893</v>
      </c>
      <c r="E38" s="14" t="n">
        <v>0</v>
      </c>
      <c r="F38" s="10" t="n">
        <f aca="false">E38/'Correction factors'!$B$10</f>
        <v>0</v>
      </c>
      <c r="G38" s="11" t="n">
        <v>510</v>
      </c>
    </row>
    <row r="39" customFormat="false" ht="15" hidden="false" customHeight="false" outlineLevel="0" collapsed="false">
      <c r="A39" s="10" t="n">
        <v>9.06376314163208</v>
      </c>
      <c r="B39" s="11" t="n">
        <v>0</v>
      </c>
      <c r="C39" s="12" t="n">
        <f aca="false">B39*'Correction factors'!$B$7</f>
        <v>0</v>
      </c>
      <c r="D39" s="13" t="n">
        <v>1.05893</v>
      </c>
      <c r="E39" s="14" t="n">
        <v>0</v>
      </c>
      <c r="F39" s="10" t="n">
        <f aca="false">E39/'Correction factors'!$B$10</f>
        <v>0</v>
      </c>
      <c r="G39" s="11" t="n">
        <v>510</v>
      </c>
    </row>
    <row r="40" customFormat="false" ht="15" hidden="false" customHeight="false" outlineLevel="0" collapsed="false">
      <c r="A40" s="10" t="n">
        <v>9.06376314163208</v>
      </c>
      <c r="B40" s="11" t="n">
        <v>0</v>
      </c>
      <c r="C40" s="12" t="n">
        <f aca="false">B40*'Correction factors'!$B$7</f>
        <v>0</v>
      </c>
      <c r="D40" s="13" t="n">
        <v>1.05893</v>
      </c>
      <c r="E40" s="14" t="n">
        <v>0</v>
      </c>
      <c r="F40" s="10" t="n">
        <f aca="false">E40/'Correction factors'!$B$10</f>
        <v>0</v>
      </c>
      <c r="G40" s="11" t="n">
        <v>510</v>
      </c>
    </row>
    <row r="41" customFormat="false" ht="15" hidden="false" customHeight="false" outlineLevel="0" collapsed="false">
      <c r="A41" s="10" t="n">
        <v>9.5582594871521</v>
      </c>
      <c r="B41" s="11" t="n">
        <v>0</v>
      </c>
      <c r="C41" s="12" t="n">
        <f aca="false">B41*'Correction factors'!$B$7</f>
        <v>0</v>
      </c>
      <c r="D41" s="13" t="n">
        <v>1.049108</v>
      </c>
      <c r="E41" s="14" t="n">
        <v>0</v>
      </c>
      <c r="F41" s="10" t="n">
        <f aca="false">E41/'Correction factors'!$B$10</f>
        <v>0</v>
      </c>
      <c r="G41" s="11" t="n">
        <v>510</v>
      </c>
    </row>
    <row r="42" customFormat="false" ht="15" hidden="false" customHeight="false" outlineLevel="0" collapsed="false">
      <c r="A42" s="10" t="n">
        <v>9.5582594871521</v>
      </c>
      <c r="B42" s="11" t="n">
        <v>0</v>
      </c>
      <c r="C42" s="12" t="n">
        <f aca="false">B42*'Correction factors'!$B$7</f>
        <v>0</v>
      </c>
      <c r="D42" s="13" t="n">
        <v>1.049108</v>
      </c>
      <c r="E42" s="14" t="n">
        <v>0</v>
      </c>
      <c r="F42" s="10" t="n">
        <f aca="false">E42/'Correction factors'!$B$10</f>
        <v>0</v>
      </c>
      <c r="G42" s="11" t="n">
        <v>510</v>
      </c>
    </row>
    <row r="43" customFormat="false" ht="15" hidden="false" customHeight="false" outlineLevel="0" collapsed="false">
      <c r="A43" s="10" t="n">
        <v>9.97269654273987</v>
      </c>
      <c r="B43" s="11" t="n">
        <v>0</v>
      </c>
      <c r="C43" s="12" t="n">
        <f aca="false">B43*'Correction factors'!$B$7</f>
        <v>0</v>
      </c>
      <c r="D43" s="13" t="n">
        <v>1.05893</v>
      </c>
      <c r="E43" s="14" t="n">
        <v>0</v>
      </c>
      <c r="F43" s="10" t="n">
        <f aca="false">E43/'Correction factors'!$B$10</f>
        <v>0</v>
      </c>
      <c r="G43" s="11" t="n">
        <v>510</v>
      </c>
    </row>
    <row r="44" customFormat="false" ht="15" hidden="false" customHeight="false" outlineLevel="0" collapsed="false">
      <c r="A44" s="10" t="n">
        <v>9.97269654273987</v>
      </c>
      <c r="B44" s="11" t="n">
        <v>0</v>
      </c>
      <c r="C44" s="12" t="n">
        <f aca="false">B44*'Correction factors'!$B$7</f>
        <v>0</v>
      </c>
      <c r="D44" s="13" t="n">
        <v>1.049108</v>
      </c>
      <c r="E44" s="14" t="n">
        <v>0</v>
      </c>
      <c r="F44" s="10" t="n">
        <f aca="false">E44/'Correction factors'!$B$10</f>
        <v>0</v>
      </c>
      <c r="G44" s="11" t="n">
        <v>510</v>
      </c>
    </row>
    <row r="45" customFormat="false" ht="15" hidden="false" customHeight="false" outlineLevel="0" collapsed="false">
      <c r="A45" s="10" t="n">
        <v>10.3884568214417</v>
      </c>
      <c r="B45" s="11" t="n">
        <v>0</v>
      </c>
      <c r="C45" s="12" t="n">
        <f aca="false">B45*'Correction factors'!$B$7</f>
        <v>0</v>
      </c>
      <c r="D45" s="13" t="n">
        <v>1.540188</v>
      </c>
      <c r="E45" s="14" t="n">
        <v>32</v>
      </c>
      <c r="F45" s="10" t="n">
        <f aca="false">E45/'Correction factors'!$B$10</f>
        <v>2.5808</v>
      </c>
      <c r="G45" s="11" t="n">
        <v>510</v>
      </c>
    </row>
    <row r="46" customFormat="false" ht="15" hidden="false" customHeight="false" outlineLevel="0" collapsed="false">
      <c r="A46" s="10" t="n">
        <v>10.3884568214417</v>
      </c>
      <c r="B46" s="11" t="n">
        <v>0</v>
      </c>
      <c r="C46" s="12" t="n">
        <f aca="false">B46*'Correction factors'!$B$7</f>
        <v>0</v>
      </c>
      <c r="D46" s="13" t="n">
        <v>1.697333</v>
      </c>
      <c r="E46" s="14" t="n">
        <v>248</v>
      </c>
      <c r="F46" s="10" t="n">
        <f aca="false">E46/'Correction factors'!$B$10</f>
        <v>20.0012</v>
      </c>
      <c r="G46" s="11" t="n">
        <v>510</v>
      </c>
    </row>
    <row r="47" customFormat="false" ht="15" hidden="false" customHeight="false" outlineLevel="0" collapsed="false">
      <c r="A47" s="10" t="n">
        <v>10.8197324275971</v>
      </c>
      <c r="B47" s="11" t="n">
        <v>0</v>
      </c>
      <c r="C47" s="12" t="n">
        <f aca="false">B47*'Correction factors'!$B$7</f>
        <v>0</v>
      </c>
      <c r="D47" s="13" t="n">
        <v>1.834836</v>
      </c>
      <c r="E47" s="14" t="n">
        <v>336</v>
      </c>
      <c r="F47" s="10" t="n">
        <f aca="false">E47/'Correction factors'!$B$10</f>
        <v>27.0984</v>
      </c>
      <c r="G47" s="11" t="n">
        <v>510</v>
      </c>
    </row>
    <row r="48" customFormat="false" ht="15" hidden="false" customHeight="false" outlineLevel="0" collapsed="false">
      <c r="A48" s="10" t="n">
        <v>10.8197324275971</v>
      </c>
      <c r="B48" s="11" t="n">
        <v>0</v>
      </c>
      <c r="C48" s="12" t="n">
        <f aca="false">B48*'Correction factors'!$B$7</f>
        <v>0</v>
      </c>
      <c r="D48" s="13" t="n">
        <v>1.942873</v>
      </c>
      <c r="E48" s="14" t="n">
        <v>376</v>
      </c>
      <c r="F48" s="10" t="n">
        <f aca="false">E48/'Correction factors'!$B$10</f>
        <v>30.3244</v>
      </c>
      <c r="G48" s="11" t="n">
        <v>510</v>
      </c>
    </row>
    <row r="49" customFormat="false" ht="15" hidden="false" customHeight="false" outlineLevel="0" collapsed="false">
      <c r="A49" s="10" t="n">
        <v>11.2484920024872</v>
      </c>
      <c r="B49" s="11" t="n">
        <v>0</v>
      </c>
      <c r="C49" s="12" t="n">
        <f aca="false">B49*'Correction factors'!$B$7</f>
        <v>0</v>
      </c>
      <c r="D49" s="13" t="n">
        <v>2.060732</v>
      </c>
      <c r="E49" s="14" t="n">
        <v>408</v>
      </c>
      <c r="F49" s="10" t="n">
        <f aca="false">E49/'Correction factors'!$B$10</f>
        <v>32.9052</v>
      </c>
      <c r="G49" s="11" t="n">
        <v>510</v>
      </c>
    </row>
    <row r="50" customFormat="false" ht="15" hidden="false" customHeight="false" outlineLevel="0" collapsed="false">
      <c r="A50" s="10" t="n">
        <v>11.2484920024872</v>
      </c>
      <c r="B50" s="11" t="n">
        <v>0</v>
      </c>
      <c r="C50" s="12" t="n">
        <f aca="false">B50*'Correction factors'!$B$7</f>
        <v>0</v>
      </c>
      <c r="D50" s="13" t="n">
        <v>2.158948</v>
      </c>
      <c r="E50" s="14" t="n">
        <v>424</v>
      </c>
      <c r="F50" s="10" t="n">
        <f aca="false">E50/'Correction factors'!$B$10</f>
        <v>34.1956</v>
      </c>
      <c r="G50" s="11" t="n">
        <v>510</v>
      </c>
    </row>
    <row r="51" customFormat="false" ht="15" hidden="false" customHeight="false" outlineLevel="0" collapsed="false">
      <c r="A51" s="10" t="n">
        <v>11.7673180103302</v>
      </c>
      <c r="B51" s="11" t="n">
        <v>200</v>
      </c>
      <c r="C51" s="12" t="n">
        <f aca="false">B51*'Correction factors'!$B$7</f>
        <v>967.8</v>
      </c>
      <c r="D51" s="13" t="n">
        <v>2.237521</v>
      </c>
      <c r="E51" s="14" t="n">
        <v>456</v>
      </c>
      <c r="F51" s="10" t="n">
        <f aca="false">E51/'Correction factors'!$B$10</f>
        <v>36.7764</v>
      </c>
      <c r="G51" s="11" t="n">
        <v>510</v>
      </c>
    </row>
    <row r="52" customFormat="false" ht="15" hidden="false" customHeight="false" outlineLevel="0" collapsed="false">
      <c r="A52" s="10" t="n">
        <v>11.7673180103302</v>
      </c>
      <c r="B52" s="11" t="n">
        <v>480</v>
      </c>
      <c r="C52" s="12" t="n">
        <f aca="false">B52*'Correction factors'!$B$7</f>
        <v>2322.72</v>
      </c>
      <c r="D52" s="13" t="n">
        <v>2.306272</v>
      </c>
      <c r="E52" s="14" t="n">
        <v>480</v>
      </c>
      <c r="F52" s="10" t="n">
        <f aca="false">E52/'Correction factors'!$B$10</f>
        <v>38.712</v>
      </c>
      <c r="G52" s="11" t="n">
        <v>510</v>
      </c>
    </row>
    <row r="53" customFormat="false" ht="15" hidden="false" customHeight="false" outlineLevel="0" collapsed="false">
      <c r="A53" s="10" t="n">
        <v>11.7673180103302</v>
      </c>
      <c r="B53" s="11" t="n">
        <v>500</v>
      </c>
      <c r="C53" s="12" t="n">
        <f aca="false">B53*'Correction factors'!$B$7</f>
        <v>2419.5</v>
      </c>
      <c r="D53" s="13" t="n">
        <v>2.375023</v>
      </c>
      <c r="E53" s="14" t="n">
        <v>480</v>
      </c>
      <c r="F53" s="10" t="n">
        <f aca="false">E53/'Correction factors'!$B$10</f>
        <v>38.712</v>
      </c>
      <c r="G53" s="11" t="n">
        <v>510</v>
      </c>
    </row>
    <row r="54" customFormat="false" ht="15" hidden="false" customHeight="false" outlineLevel="0" collapsed="false">
      <c r="A54" s="10" t="n">
        <v>12.2971677780151</v>
      </c>
      <c r="B54" s="11" t="n">
        <v>520</v>
      </c>
      <c r="C54" s="12" t="n">
        <f aca="false">B54*'Correction factors'!$B$7</f>
        <v>2516.28</v>
      </c>
      <c r="D54" s="13" t="n">
        <v>2.424131</v>
      </c>
      <c r="E54" s="14" t="n">
        <v>504</v>
      </c>
      <c r="F54" s="10" t="n">
        <f aca="false">E54/'Correction factors'!$B$10</f>
        <v>40.6476</v>
      </c>
      <c r="G54" s="11" t="n">
        <v>510</v>
      </c>
    </row>
    <row r="55" customFormat="false" ht="15" hidden="false" customHeight="false" outlineLevel="0" collapsed="false">
      <c r="A55" s="10" t="n">
        <v>12.2971677780151</v>
      </c>
      <c r="B55" s="11" t="n">
        <v>560</v>
      </c>
      <c r="C55" s="12" t="n">
        <f aca="false">B55*'Correction factors'!$B$7</f>
        <v>2709.84</v>
      </c>
      <c r="D55" s="13" t="n">
        <v>2.483061</v>
      </c>
      <c r="E55" s="14" t="n">
        <v>512</v>
      </c>
      <c r="F55" s="10" t="n">
        <f aca="false">E55/'Correction factors'!$B$10</f>
        <v>41.2928</v>
      </c>
      <c r="G55" s="11" t="n">
        <v>510</v>
      </c>
    </row>
    <row r="56" customFormat="false" ht="15" hidden="false" customHeight="false" outlineLevel="0" collapsed="false">
      <c r="A56" s="10" t="n">
        <v>12.7583963871002</v>
      </c>
      <c r="B56" s="11" t="n">
        <v>560</v>
      </c>
      <c r="C56" s="12" t="n">
        <f aca="false">B56*'Correction factors'!$B$7</f>
        <v>2709.84</v>
      </c>
      <c r="D56" s="13" t="n">
        <v>2.512526</v>
      </c>
      <c r="E56" s="14" t="n">
        <v>520</v>
      </c>
      <c r="F56" s="10" t="n">
        <f aca="false">E56/'Correction factors'!$B$10</f>
        <v>41.938</v>
      </c>
      <c r="G56" s="11" t="n">
        <v>510</v>
      </c>
    </row>
    <row r="57" customFormat="false" ht="15" hidden="false" customHeight="false" outlineLevel="0" collapsed="false">
      <c r="A57" s="10" t="n">
        <v>12.7583963871002</v>
      </c>
      <c r="B57" s="11" t="n">
        <v>600</v>
      </c>
      <c r="C57" s="12" t="n">
        <f aca="false">B57*'Correction factors'!$B$7</f>
        <v>2903.4</v>
      </c>
      <c r="D57" s="13" t="n">
        <v>2.551812</v>
      </c>
      <c r="E57" s="14" t="n">
        <v>528</v>
      </c>
      <c r="F57" s="10" t="n">
        <f aca="false">E57/'Correction factors'!$B$10</f>
        <v>42.5832</v>
      </c>
      <c r="G57" s="11" t="n">
        <v>510</v>
      </c>
    </row>
    <row r="58" customFormat="false" ht="15" hidden="false" customHeight="false" outlineLevel="0" collapsed="false">
      <c r="A58" s="10" t="n">
        <v>13.2019257545471</v>
      </c>
      <c r="B58" s="11" t="n">
        <v>580</v>
      </c>
      <c r="C58" s="12" t="n">
        <f aca="false">B58*'Correction factors'!$B$7</f>
        <v>2806.62</v>
      </c>
      <c r="D58" s="13" t="n">
        <v>2.571455</v>
      </c>
      <c r="E58" s="14" t="n">
        <v>544</v>
      </c>
      <c r="F58" s="10" t="n">
        <f aca="false">E58/'Correction factors'!$B$10</f>
        <v>43.8736</v>
      </c>
      <c r="G58" s="11" t="n">
        <v>510</v>
      </c>
    </row>
    <row r="59" customFormat="false" ht="15" hidden="false" customHeight="false" outlineLevel="0" collapsed="false">
      <c r="A59" s="10" t="n">
        <v>13.2019257545471</v>
      </c>
      <c r="B59" s="11" t="n">
        <v>600</v>
      </c>
      <c r="C59" s="12" t="n">
        <f aca="false">B59*'Correction factors'!$B$7</f>
        <v>2903.4</v>
      </c>
      <c r="D59" s="13" t="n">
        <v>2.591098</v>
      </c>
      <c r="E59" s="14" t="n">
        <v>544</v>
      </c>
      <c r="F59" s="10" t="n">
        <f aca="false">E59/'Correction factors'!$B$10</f>
        <v>43.8736</v>
      </c>
      <c r="G59" s="11" t="n">
        <v>510</v>
      </c>
    </row>
    <row r="60" customFormat="false" ht="15" hidden="false" customHeight="false" outlineLevel="0" collapsed="false">
      <c r="A60" s="10" t="n">
        <v>13.6455380916596</v>
      </c>
      <c r="B60" s="11" t="n">
        <v>620</v>
      </c>
      <c r="C60" s="12" t="n">
        <f aca="false">B60*'Correction factors'!$B$7</f>
        <v>3000.18</v>
      </c>
      <c r="D60" s="13" t="n">
        <v>2.60092</v>
      </c>
      <c r="E60" s="14" t="n">
        <v>552</v>
      </c>
      <c r="F60" s="10" t="n">
        <f aca="false">E60/'Correction factors'!$B$10</f>
        <v>44.5188</v>
      </c>
      <c r="G60" s="11" t="n">
        <v>510</v>
      </c>
    </row>
    <row r="61" customFormat="false" ht="15" hidden="false" customHeight="false" outlineLevel="0" collapsed="false">
      <c r="A61" s="10" t="n">
        <v>13.6455380916596</v>
      </c>
      <c r="B61" s="11" t="n">
        <v>620</v>
      </c>
      <c r="C61" s="12" t="n">
        <f aca="false">B61*'Correction factors'!$B$7</f>
        <v>3000.18</v>
      </c>
      <c r="D61" s="13" t="n">
        <v>2.610742</v>
      </c>
      <c r="E61" s="14" t="n">
        <v>560</v>
      </c>
      <c r="F61" s="10" t="n">
        <f aca="false">E61/'Correction factors'!$B$10</f>
        <v>45.164</v>
      </c>
      <c r="G61" s="11" t="n">
        <v>510</v>
      </c>
    </row>
    <row r="62" customFormat="false" ht="15" hidden="false" customHeight="false" outlineLevel="0" collapsed="false">
      <c r="A62" s="10" t="n">
        <v>13.6455380916596</v>
      </c>
      <c r="B62" s="11" t="n">
        <v>620</v>
      </c>
      <c r="C62" s="12" t="n">
        <f aca="false">B62*'Correction factors'!$B$7</f>
        <v>3000.18</v>
      </c>
      <c r="D62" s="13" t="n">
        <v>2.620563</v>
      </c>
      <c r="E62" s="14" t="n">
        <v>560</v>
      </c>
      <c r="F62" s="10" t="n">
        <f aca="false">E62/'Correction factors'!$B$10</f>
        <v>45.164</v>
      </c>
      <c r="G62" s="11" t="n">
        <v>510</v>
      </c>
    </row>
    <row r="63" customFormat="false" ht="15" hidden="false" customHeight="false" outlineLevel="0" collapsed="false">
      <c r="A63" s="10" t="n">
        <v>14.1277666091919</v>
      </c>
      <c r="B63" s="11" t="n">
        <v>620</v>
      </c>
      <c r="C63" s="12" t="n">
        <f aca="false">B63*'Correction factors'!$B$7</f>
        <v>3000.18</v>
      </c>
      <c r="D63" s="13" t="n">
        <v>2.630385</v>
      </c>
      <c r="E63" s="14" t="n">
        <v>560</v>
      </c>
      <c r="F63" s="10" t="n">
        <f aca="false">E63/'Correction factors'!$B$10</f>
        <v>45.164</v>
      </c>
      <c r="G63" s="11" t="n">
        <v>510</v>
      </c>
    </row>
    <row r="64" customFormat="false" ht="15" hidden="false" customHeight="false" outlineLevel="0" collapsed="false">
      <c r="A64" s="10" t="n">
        <v>14.1277666091919</v>
      </c>
      <c r="B64" s="11" t="n">
        <v>620</v>
      </c>
      <c r="C64" s="12" t="n">
        <f aca="false">B64*'Correction factors'!$B$7</f>
        <v>3000.18</v>
      </c>
      <c r="D64" s="13" t="n">
        <v>2.630385</v>
      </c>
      <c r="E64" s="14" t="n">
        <v>560</v>
      </c>
      <c r="F64" s="10" t="n">
        <f aca="false">E64/'Correction factors'!$B$10</f>
        <v>45.164</v>
      </c>
      <c r="G64" s="11" t="n">
        <v>510</v>
      </c>
    </row>
    <row r="65" customFormat="false" ht="15" hidden="false" customHeight="false" outlineLevel="0" collapsed="false">
      <c r="A65" s="10" t="n">
        <v>14.590146780014</v>
      </c>
      <c r="B65" s="11" t="n">
        <v>640</v>
      </c>
      <c r="C65" s="12" t="n">
        <f aca="false">B65*'Correction factors'!$B$7</f>
        <v>3096.96</v>
      </c>
      <c r="D65" s="13" t="n">
        <v>2.630385</v>
      </c>
      <c r="E65" s="14" t="n">
        <v>560</v>
      </c>
      <c r="F65" s="10" t="n">
        <f aca="false">E65/'Correction factors'!$B$10</f>
        <v>45.164</v>
      </c>
      <c r="G65" s="11" t="n">
        <v>510</v>
      </c>
    </row>
    <row r="66" customFormat="false" ht="15" hidden="false" customHeight="false" outlineLevel="0" collapsed="false">
      <c r="A66" s="10" t="n">
        <v>14.590146780014</v>
      </c>
      <c r="B66" s="11" t="n">
        <v>640</v>
      </c>
      <c r="C66" s="12" t="n">
        <f aca="false">B66*'Correction factors'!$B$7</f>
        <v>3096.96</v>
      </c>
      <c r="D66" s="13" t="n">
        <v>2.630385</v>
      </c>
      <c r="E66" s="14" t="n">
        <v>560</v>
      </c>
      <c r="F66" s="10" t="n">
        <f aca="false">E66/'Correction factors'!$B$10</f>
        <v>45.164</v>
      </c>
      <c r="G66" s="11" t="n">
        <v>510</v>
      </c>
    </row>
    <row r="67" customFormat="false" ht="15" hidden="false" customHeight="false" outlineLevel="0" collapsed="false">
      <c r="A67" s="10" t="n">
        <v>15.0527269840241</v>
      </c>
      <c r="B67" s="11" t="n">
        <v>640</v>
      </c>
      <c r="C67" s="12" t="n">
        <f aca="false">B67*'Correction factors'!$B$7</f>
        <v>3096.96</v>
      </c>
      <c r="D67" s="13" t="n">
        <v>2.630385</v>
      </c>
      <c r="E67" s="14" t="n">
        <v>568</v>
      </c>
      <c r="F67" s="10" t="n">
        <f aca="false">E67/'Correction factors'!$B$10</f>
        <v>45.8092</v>
      </c>
      <c r="G67" s="11" t="n">
        <v>510</v>
      </c>
    </row>
    <row r="68" customFormat="false" ht="15" hidden="false" customHeight="false" outlineLevel="0" collapsed="false">
      <c r="A68" s="10" t="n">
        <v>15.0527269840241</v>
      </c>
      <c r="B68" s="11" t="n">
        <v>620</v>
      </c>
      <c r="C68" s="12" t="n">
        <f aca="false">B68*'Correction factors'!$B$7</f>
        <v>3000.18</v>
      </c>
      <c r="D68" s="13" t="n">
        <v>2.620563</v>
      </c>
      <c r="E68" s="14" t="n">
        <v>560</v>
      </c>
      <c r="F68" s="10" t="n">
        <f aca="false">E68/'Correction factors'!$B$10</f>
        <v>45.164</v>
      </c>
      <c r="G68" s="11" t="n">
        <v>510</v>
      </c>
    </row>
    <row r="69" customFormat="false" ht="15" hidden="false" customHeight="false" outlineLevel="0" collapsed="false">
      <c r="A69" s="10" t="n">
        <v>15.5175001621246</v>
      </c>
      <c r="B69" s="11" t="n">
        <v>620</v>
      </c>
      <c r="C69" s="12" t="n">
        <f aca="false">B69*'Correction factors'!$B$7</f>
        <v>3000.18</v>
      </c>
      <c r="D69" s="13" t="n">
        <v>2.610742</v>
      </c>
      <c r="E69" s="14" t="n">
        <v>560</v>
      </c>
      <c r="F69" s="10" t="n">
        <f aca="false">E69/'Correction factors'!$B$10</f>
        <v>45.164</v>
      </c>
      <c r="G69" s="11" t="n">
        <v>510</v>
      </c>
    </row>
    <row r="70" customFormat="false" ht="15" hidden="false" customHeight="false" outlineLevel="0" collapsed="false">
      <c r="A70" s="10" t="n">
        <v>15.5175001621246</v>
      </c>
      <c r="B70" s="11" t="n">
        <v>620</v>
      </c>
      <c r="C70" s="12" t="n">
        <f aca="false">B70*'Correction factors'!$B$7</f>
        <v>3000.18</v>
      </c>
      <c r="D70" s="13" t="n">
        <v>2.610742</v>
      </c>
      <c r="E70" s="14" t="n">
        <v>560</v>
      </c>
      <c r="F70" s="10" t="n">
        <f aca="false">E70/'Correction factors'!$B$10</f>
        <v>45.164</v>
      </c>
      <c r="G70" s="11" t="n">
        <v>510</v>
      </c>
    </row>
    <row r="71" customFormat="false" ht="15" hidden="false" customHeight="false" outlineLevel="0" collapsed="false">
      <c r="A71" s="10" t="n">
        <v>15.5175001621246</v>
      </c>
      <c r="B71" s="11" t="n">
        <v>640</v>
      </c>
      <c r="C71" s="12" t="n">
        <f aca="false">B71*'Correction factors'!$B$7</f>
        <v>3096.96</v>
      </c>
      <c r="D71" s="13" t="n">
        <v>2.591098</v>
      </c>
      <c r="E71" s="14" t="n">
        <v>560</v>
      </c>
      <c r="F71" s="10" t="n">
        <f aca="false">E71/'Correction factors'!$B$10</f>
        <v>45.164</v>
      </c>
      <c r="G71" s="11" t="n">
        <v>510</v>
      </c>
    </row>
    <row r="72" customFormat="false" ht="15" hidden="false" customHeight="false" outlineLevel="0" collapsed="false">
      <c r="A72" s="10" t="n">
        <v>16.0153312683106</v>
      </c>
      <c r="B72" s="11" t="n">
        <v>620</v>
      </c>
      <c r="C72" s="12" t="n">
        <f aca="false">B72*'Correction factors'!$B$7</f>
        <v>3000.18</v>
      </c>
      <c r="D72" s="13" t="n">
        <v>2.591098</v>
      </c>
      <c r="E72" s="14" t="n">
        <v>552</v>
      </c>
      <c r="F72" s="10" t="n">
        <f aca="false">E72/'Correction factors'!$B$10</f>
        <v>44.5188</v>
      </c>
      <c r="G72" s="11" t="n">
        <v>510</v>
      </c>
    </row>
    <row r="73" customFormat="false" ht="15" hidden="false" customHeight="false" outlineLevel="0" collapsed="false">
      <c r="A73" s="10" t="n">
        <v>16.0153312683106</v>
      </c>
      <c r="B73" s="11" t="n">
        <v>620</v>
      </c>
      <c r="C73" s="12" t="n">
        <f aca="false">B73*'Correction factors'!$B$7</f>
        <v>3000.18</v>
      </c>
      <c r="D73" s="13" t="n">
        <v>2.581277</v>
      </c>
      <c r="E73" s="14" t="n">
        <v>552</v>
      </c>
      <c r="F73" s="10" t="n">
        <f aca="false">E73/'Correction factors'!$B$10</f>
        <v>44.5188</v>
      </c>
      <c r="G73" s="11" t="n">
        <v>510</v>
      </c>
    </row>
    <row r="74" customFormat="false" ht="15" hidden="false" customHeight="false" outlineLevel="0" collapsed="false">
      <c r="A74" s="10" t="n">
        <v>16.5166873931885</v>
      </c>
      <c r="B74" s="11" t="n">
        <v>640</v>
      </c>
      <c r="C74" s="12" t="n">
        <f aca="false">B74*'Correction factors'!$B$7</f>
        <v>3096.96</v>
      </c>
      <c r="D74" s="13" t="n">
        <v>2.581277</v>
      </c>
      <c r="E74" s="14" t="n">
        <v>552</v>
      </c>
      <c r="F74" s="10" t="n">
        <f aca="false">E74/'Correction factors'!$B$10</f>
        <v>44.5188</v>
      </c>
      <c r="G74" s="11" t="n">
        <v>510</v>
      </c>
    </row>
    <row r="75" customFormat="false" ht="15" hidden="false" customHeight="false" outlineLevel="0" collapsed="false">
      <c r="A75" s="10" t="n">
        <v>16.5166873931885</v>
      </c>
      <c r="B75" s="11" t="n">
        <v>620</v>
      </c>
      <c r="C75" s="12" t="n">
        <f aca="false">B75*'Correction factors'!$B$7</f>
        <v>3000.18</v>
      </c>
      <c r="D75" s="13" t="n">
        <v>2.571455</v>
      </c>
      <c r="E75" s="14" t="n">
        <v>544</v>
      </c>
      <c r="F75" s="10" t="n">
        <f aca="false">E75/'Correction factors'!$B$10</f>
        <v>43.8736</v>
      </c>
      <c r="G75" s="11" t="n">
        <v>510</v>
      </c>
    </row>
    <row r="76" customFormat="false" ht="15" hidden="false" customHeight="false" outlineLevel="0" collapsed="false">
      <c r="A76" s="10" t="n">
        <v>16.9736399650574</v>
      </c>
      <c r="B76" s="11" t="n">
        <v>600</v>
      </c>
      <c r="C76" s="12" t="n">
        <f aca="false">B76*'Correction factors'!$B$7</f>
        <v>2903.4</v>
      </c>
      <c r="D76" s="13" t="n">
        <v>2.551812</v>
      </c>
      <c r="E76" s="14" t="n">
        <v>544</v>
      </c>
      <c r="F76" s="10" t="n">
        <f aca="false">E76/'Correction factors'!$B$10</f>
        <v>43.8736</v>
      </c>
      <c r="G76" s="11" t="n">
        <v>510</v>
      </c>
    </row>
    <row r="77" customFormat="false" ht="15" hidden="false" customHeight="false" outlineLevel="0" collapsed="false">
      <c r="A77" s="10" t="n">
        <v>16.9736399650574</v>
      </c>
      <c r="B77" s="11" t="n">
        <v>620</v>
      </c>
      <c r="C77" s="12" t="n">
        <f aca="false">B77*'Correction factors'!$B$7</f>
        <v>3000.18</v>
      </c>
      <c r="D77" s="13" t="n">
        <v>2.54199</v>
      </c>
      <c r="E77" s="14" t="n">
        <v>544</v>
      </c>
      <c r="F77" s="10" t="n">
        <f aca="false">E77/'Correction factors'!$B$10</f>
        <v>43.8736</v>
      </c>
      <c r="G77" s="11" t="n">
        <v>510</v>
      </c>
    </row>
    <row r="78" customFormat="false" ht="15" hidden="false" customHeight="false" outlineLevel="0" collapsed="false">
      <c r="A78" s="10" t="n">
        <v>16.9736399650574</v>
      </c>
      <c r="B78" s="11" t="n">
        <v>600</v>
      </c>
      <c r="C78" s="12" t="n">
        <f aca="false">B78*'Correction factors'!$B$7</f>
        <v>2903.4</v>
      </c>
      <c r="D78" s="13" t="n">
        <v>2.54199</v>
      </c>
      <c r="E78" s="14" t="n">
        <v>544</v>
      </c>
      <c r="F78" s="10" t="n">
        <f aca="false">E78/'Correction factors'!$B$10</f>
        <v>43.8736</v>
      </c>
      <c r="G78" s="11" t="n">
        <v>510</v>
      </c>
    </row>
    <row r="79" customFormat="false" ht="15" hidden="false" customHeight="false" outlineLevel="0" collapsed="false">
      <c r="A79" s="10" t="n">
        <v>17.4669644832611</v>
      </c>
      <c r="B79" s="11" t="n">
        <v>580</v>
      </c>
      <c r="C79" s="12" t="n">
        <f aca="false">B79*'Correction factors'!$B$7</f>
        <v>2806.62</v>
      </c>
      <c r="D79" s="13" t="n">
        <v>2.522347</v>
      </c>
      <c r="E79" s="14" t="n">
        <v>544</v>
      </c>
      <c r="F79" s="10" t="n">
        <f aca="false">E79/'Correction factors'!$B$10</f>
        <v>43.8736</v>
      </c>
      <c r="G79" s="11" t="n">
        <v>510</v>
      </c>
    </row>
    <row r="80" customFormat="false" ht="15" hidden="false" customHeight="false" outlineLevel="0" collapsed="false">
      <c r="A80" s="10" t="n">
        <v>17.4669644832611</v>
      </c>
      <c r="B80" s="11" t="n">
        <v>620</v>
      </c>
      <c r="C80" s="12" t="n">
        <f aca="false">B80*'Correction factors'!$B$7</f>
        <v>3000.18</v>
      </c>
      <c r="D80" s="13" t="n">
        <v>2.512526</v>
      </c>
      <c r="E80" s="14" t="n">
        <v>536</v>
      </c>
      <c r="F80" s="10" t="n">
        <f aca="false">E80/'Correction factors'!$B$10</f>
        <v>43.2284</v>
      </c>
      <c r="G80" s="11" t="n">
        <v>510</v>
      </c>
    </row>
    <row r="81" customFormat="false" ht="15" hidden="false" customHeight="false" outlineLevel="0" collapsed="false">
      <c r="A81" s="10" t="n">
        <v>17.9362354278565</v>
      </c>
      <c r="B81" s="11" t="n">
        <v>600</v>
      </c>
      <c r="C81" s="12" t="n">
        <f aca="false">B81*'Correction factors'!$B$7</f>
        <v>2903.4</v>
      </c>
      <c r="D81" s="13" t="n">
        <v>2.502704</v>
      </c>
      <c r="E81" s="14" t="n">
        <v>536</v>
      </c>
      <c r="F81" s="10" t="n">
        <f aca="false">E81/'Correction factors'!$B$10</f>
        <v>43.2284</v>
      </c>
      <c r="G81" s="11" t="n">
        <v>510</v>
      </c>
    </row>
    <row r="82" customFormat="false" ht="15" hidden="false" customHeight="false" outlineLevel="0" collapsed="false">
      <c r="A82" s="10" t="n">
        <v>17.9362354278565</v>
      </c>
      <c r="B82" s="11" t="n">
        <v>600</v>
      </c>
      <c r="C82" s="12" t="n">
        <f aca="false">B82*'Correction factors'!$B$7</f>
        <v>2903.4</v>
      </c>
      <c r="D82" s="13" t="n">
        <v>2.492883</v>
      </c>
      <c r="E82" s="14" t="n">
        <v>536</v>
      </c>
      <c r="F82" s="10" t="n">
        <f aca="false">E82/'Correction factors'!$B$10</f>
        <v>43.2284</v>
      </c>
      <c r="G82" s="11" t="n">
        <v>510</v>
      </c>
    </row>
    <row r="83" customFormat="false" ht="15" hidden="false" customHeight="false" outlineLevel="0" collapsed="false">
      <c r="A83" s="10" t="n">
        <v>18.4047613143921</v>
      </c>
      <c r="B83" s="11" t="n">
        <v>580</v>
      </c>
      <c r="C83" s="12" t="n">
        <f aca="false">B83*'Correction factors'!$B$7</f>
        <v>2806.62</v>
      </c>
      <c r="D83" s="13" t="n">
        <v>2.483061</v>
      </c>
      <c r="E83" s="14" t="n">
        <v>536</v>
      </c>
      <c r="F83" s="10" t="n">
        <f aca="false">E83/'Correction factors'!$B$10</f>
        <v>43.2284</v>
      </c>
      <c r="G83" s="11" t="n">
        <v>510</v>
      </c>
    </row>
    <row r="84" customFormat="false" ht="15" hidden="false" customHeight="false" outlineLevel="0" collapsed="false">
      <c r="A84" s="10" t="n">
        <v>18.4047613143921</v>
      </c>
      <c r="B84" s="11" t="n">
        <v>600</v>
      </c>
      <c r="C84" s="12" t="n">
        <f aca="false">B84*'Correction factors'!$B$7</f>
        <v>2903.4</v>
      </c>
      <c r="D84" s="13" t="n">
        <v>2.473239</v>
      </c>
      <c r="E84" s="14" t="n">
        <v>528</v>
      </c>
      <c r="F84" s="10" t="n">
        <f aca="false">E84/'Correction factors'!$B$10</f>
        <v>42.5832</v>
      </c>
      <c r="G84" s="11" t="n">
        <v>510</v>
      </c>
    </row>
    <row r="85" customFormat="false" ht="15" hidden="false" customHeight="false" outlineLevel="0" collapsed="false">
      <c r="A85" s="10" t="n">
        <v>18.4047613143921</v>
      </c>
      <c r="B85" s="11" t="n">
        <v>580</v>
      </c>
      <c r="C85" s="12" t="n">
        <f aca="false">B85*'Correction factors'!$B$7</f>
        <v>2806.62</v>
      </c>
      <c r="D85" s="13" t="n">
        <v>2.443774</v>
      </c>
      <c r="E85" s="14" t="n">
        <v>520</v>
      </c>
      <c r="F85" s="10" t="n">
        <f aca="false">E85/'Correction factors'!$B$10</f>
        <v>41.938</v>
      </c>
      <c r="G85" s="11" t="n">
        <v>510</v>
      </c>
    </row>
    <row r="86" customFormat="false" ht="15" hidden="false" customHeight="false" outlineLevel="0" collapsed="false">
      <c r="A86" s="10" t="n">
        <v>18.9266769886017</v>
      </c>
      <c r="B86" s="11" t="n">
        <v>580</v>
      </c>
      <c r="C86" s="12" t="n">
        <f aca="false">B86*'Correction factors'!$B$7</f>
        <v>2806.62</v>
      </c>
      <c r="D86" s="13" t="n">
        <v>2.443774</v>
      </c>
      <c r="E86" s="14" t="n">
        <v>520</v>
      </c>
      <c r="F86" s="10" t="n">
        <f aca="false">E86/'Correction factors'!$B$10</f>
        <v>41.938</v>
      </c>
      <c r="G86" s="11" t="n">
        <v>510</v>
      </c>
    </row>
    <row r="87" customFormat="false" ht="15" hidden="false" customHeight="false" outlineLevel="0" collapsed="false">
      <c r="A87" s="10" t="n">
        <v>18.9266769886017</v>
      </c>
      <c r="B87" s="11" t="n">
        <v>580</v>
      </c>
      <c r="C87" s="12" t="n">
        <f aca="false">B87*'Correction factors'!$B$7</f>
        <v>2806.62</v>
      </c>
      <c r="D87" s="13" t="n">
        <v>2.424131</v>
      </c>
      <c r="E87" s="14" t="n">
        <v>512</v>
      </c>
      <c r="F87" s="10" t="n">
        <f aca="false">E87/'Correction factors'!$B$10</f>
        <v>41.2928</v>
      </c>
      <c r="G87" s="11" t="n">
        <v>510</v>
      </c>
    </row>
    <row r="88" customFormat="false" ht="15" hidden="false" customHeight="false" outlineLevel="0" collapsed="false">
      <c r="A88" s="10" t="n">
        <v>19.3927688598633</v>
      </c>
      <c r="B88" s="11" t="n">
        <v>580</v>
      </c>
      <c r="C88" s="12" t="n">
        <f aca="false">B88*'Correction factors'!$B$7</f>
        <v>2806.62</v>
      </c>
      <c r="D88" s="13" t="n">
        <v>2.424131</v>
      </c>
      <c r="E88" s="14" t="n">
        <v>512</v>
      </c>
      <c r="F88" s="10" t="n">
        <f aca="false">E88/'Correction factors'!$B$10</f>
        <v>41.2928</v>
      </c>
      <c r="G88" s="11" t="n">
        <v>510</v>
      </c>
    </row>
    <row r="89" customFormat="false" ht="15" hidden="false" customHeight="false" outlineLevel="0" collapsed="false">
      <c r="A89" s="10" t="n">
        <v>19.3927688598633</v>
      </c>
      <c r="B89" s="11" t="n">
        <v>580</v>
      </c>
      <c r="C89" s="12" t="n">
        <f aca="false">B89*'Correction factors'!$B$7</f>
        <v>2806.62</v>
      </c>
      <c r="D89" s="13" t="n">
        <v>2.41431</v>
      </c>
      <c r="E89" s="14" t="n">
        <v>504</v>
      </c>
      <c r="F89" s="10" t="n">
        <f aca="false">E89/'Correction factors'!$B$10</f>
        <v>40.6476</v>
      </c>
      <c r="G89" s="11" t="n">
        <v>510</v>
      </c>
    </row>
    <row r="90" customFormat="false" ht="15" hidden="false" customHeight="false" outlineLevel="0" collapsed="false">
      <c r="A90" s="10" t="n">
        <v>19.8599805831909</v>
      </c>
      <c r="B90" s="11" t="n">
        <v>580</v>
      </c>
      <c r="C90" s="12" t="n">
        <f aca="false">B90*'Correction factors'!$B$7</f>
        <v>2806.62</v>
      </c>
      <c r="D90" s="13" t="n">
        <v>2.394667</v>
      </c>
      <c r="E90" s="14" t="n">
        <v>504</v>
      </c>
      <c r="F90" s="10" t="n">
        <f aca="false">E90/'Correction factors'!$B$10</f>
        <v>40.6476</v>
      </c>
      <c r="G90" s="11" t="n">
        <v>510</v>
      </c>
    </row>
    <row r="91" customFormat="false" ht="15" hidden="false" customHeight="false" outlineLevel="0" collapsed="false">
      <c r="A91" s="10" t="n">
        <v>19.8599805831909</v>
      </c>
      <c r="B91" s="11" t="n">
        <v>560</v>
      </c>
      <c r="C91" s="12" t="n">
        <f aca="false">B91*'Correction factors'!$B$7</f>
        <v>2709.84</v>
      </c>
      <c r="D91" s="13" t="n">
        <v>2.394667</v>
      </c>
      <c r="E91" s="14" t="n">
        <v>504</v>
      </c>
      <c r="F91" s="10" t="n">
        <f aca="false">E91/'Correction factors'!$B$10</f>
        <v>40.6476</v>
      </c>
      <c r="G91" s="11" t="n">
        <v>510</v>
      </c>
    </row>
    <row r="92" customFormat="false" ht="15" hidden="false" customHeight="false" outlineLevel="0" collapsed="false">
      <c r="A92" s="10" t="n">
        <v>19.8599805831909</v>
      </c>
      <c r="B92" s="11" t="n">
        <v>560</v>
      </c>
      <c r="C92" s="12" t="n">
        <f aca="false">B92*'Correction factors'!$B$7</f>
        <v>2709.84</v>
      </c>
      <c r="D92" s="13" t="n">
        <v>2.384845</v>
      </c>
      <c r="E92" s="14" t="n">
        <v>504</v>
      </c>
      <c r="F92" s="10" t="n">
        <f aca="false">E92/'Correction factors'!$B$10</f>
        <v>40.6476</v>
      </c>
      <c r="G92" s="11" t="n">
        <v>510</v>
      </c>
    </row>
    <row r="93" customFormat="false" ht="15" hidden="false" customHeight="false" outlineLevel="0" collapsed="false">
      <c r="A93" s="10" t="n">
        <v>20.366170167923</v>
      </c>
      <c r="B93" s="11" t="n">
        <v>560</v>
      </c>
      <c r="C93" s="12" t="n">
        <f aca="false">B93*'Correction factors'!$B$7</f>
        <v>2709.84</v>
      </c>
      <c r="D93" s="13" t="n">
        <v>2.365202</v>
      </c>
      <c r="E93" s="14" t="n">
        <v>504</v>
      </c>
      <c r="F93" s="10" t="n">
        <f aca="false">E93/'Correction factors'!$B$10</f>
        <v>40.6476</v>
      </c>
      <c r="G93" s="11" t="n">
        <v>510</v>
      </c>
    </row>
    <row r="94" customFormat="false" ht="15" hidden="false" customHeight="false" outlineLevel="0" collapsed="false">
      <c r="A94" s="10" t="n">
        <v>20.366170167923</v>
      </c>
      <c r="B94" s="11" t="n">
        <v>540</v>
      </c>
      <c r="C94" s="12" t="n">
        <f aca="false">B94*'Correction factors'!$B$7</f>
        <v>2613.06</v>
      </c>
      <c r="D94" s="13" t="n">
        <v>2.35538</v>
      </c>
      <c r="E94" s="14" t="n">
        <v>496</v>
      </c>
      <c r="F94" s="10" t="n">
        <f aca="false">E94/'Correction factors'!$B$10</f>
        <v>40.0024</v>
      </c>
      <c r="G94" s="11" t="n">
        <v>510</v>
      </c>
    </row>
    <row r="95" customFormat="false" ht="15" hidden="false" customHeight="false" outlineLevel="0" collapsed="false">
      <c r="A95" s="10" t="n">
        <v>20.8642454147339</v>
      </c>
      <c r="B95" s="11" t="n">
        <v>560</v>
      </c>
      <c r="C95" s="12" t="n">
        <f aca="false">B95*'Correction factors'!$B$7</f>
        <v>2709.84</v>
      </c>
      <c r="D95" s="13" t="n">
        <v>2.35538</v>
      </c>
      <c r="E95" s="14" t="n">
        <v>496</v>
      </c>
      <c r="F95" s="10" t="n">
        <f aca="false">E95/'Correction factors'!$B$10</f>
        <v>40.0024</v>
      </c>
      <c r="G95" s="11" t="n">
        <v>510</v>
      </c>
    </row>
    <row r="96" customFormat="false" ht="15" hidden="false" customHeight="false" outlineLevel="0" collapsed="false">
      <c r="A96" s="10" t="n">
        <v>20.8642454147339</v>
      </c>
      <c r="B96" s="11" t="n">
        <v>540</v>
      </c>
      <c r="C96" s="12" t="n">
        <f aca="false">B96*'Correction factors'!$B$7</f>
        <v>2613.06</v>
      </c>
      <c r="D96" s="13" t="n">
        <v>2.335737</v>
      </c>
      <c r="E96" s="14" t="n">
        <v>496</v>
      </c>
      <c r="F96" s="10" t="n">
        <f aca="false">E96/'Correction factors'!$B$10</f>
        <v>40.0024</v>
      </c>
      <c r="G96" s="11" t="n">
        <v>510</v>
      </c>
    </row>
    <row r="97" customFormat="false" ht="15" hidden="false" customHeight="false" outlineLevel="0" collapsed="false">
      <c r="A97" s="10" t="n">
        <v>21.3117032051086</v>
      </c>
      <c r="B97" s="11" t="n">
        <v>540</v>
      </c>
      <c r="C97" s="12" t="n">
        <f aca="false">B97*'Correction factors'!$B$7</f>
        <v>2613.06</v>
      </c>
      <c r="D97" s="13" t="n">
        <v>2.325915</v>
      </c>
      <c r="E97" s="14" t="n">
        <v>496</v>
      </c>
      <c r="F97" s="10" t="n">
        <f aca="false">E97/'Correction factors'!$B$10</f>
        <v>40.0024</v>
      </c>
      <c r="G97" s="11" t="n">
        <v>510</v>
      </c>
    </row>
    <row r="98" customFormat="false" ht="15" hidden="false" customHeight="false" outlineLevel="0" collapsed="false">
      <c r="A98" s="10" t="n">
        <v>21.3117032051086</v>
      </c>
      <c r="B98" s="11" t="n">
        <v>560</v>
      </c>
      <c r="C98" s="12" t="n">
        <f aca="false">B98*'Correction factors'!$B$7</f>
        <v>2709.84</v>
      </c>
      <c r="D98" s="13" t="n">
        <v>2.316094</v>
      </c>
      <c r="E98" s="14" t="n">
        <v>496</v>
      </c>
      <c r="F98" s="10" t="n">
        <f aca="false">E98/'Correction factors'!$B$10</f>
        <v>40.0024</v>
      </c>
      <c r="G98" s="11" t="n">
        <v>510</v>
      </c>
    </row>
    <row r="99" customFormat="false" ht="15" hidden="false" customHeight="false" outlineLevel="0" collapsed="false">
      <c r="A99" s="10" t="n">
        <v>21.3117032051086</v>
      </c>
      <c r="B99" s="11" t="n">
        <v>520</v>
      </c>
      <c r="C99" s="12" t="n">
        <f aca="false">B99*'Correction factors'!$B$7</f>
        <v>2516.28</v>
      </c>
      <c r="D99" s="13" t="n">
        <v>2.306272</v>
      </c>
      <c r="E99" s="14" t="n">
        <v>496</v>
      </c>
      <c r="F99" s="10" t="n">
        <f aca="false">E99/'Correction factors'!$B$10</f>
        <v>40.0024</v>
      </c>
      <c r="G99" s="11" t="n">
        <v>510</v>
      </c>
    </row>
    <row r="100" customFormat="false" ht="15" hidden="false" customHeight="false" outlineLevel="0" collapsed="false">
      <c r="A100" s="10" t="n">
        <v>21.8111672401428</v>
      </c>
      <c r="B100" s="11" t="n">
        <v>520</v>
      </c>
      <c r="C100" s="12" t="n">
        <f aca="false">B100*'Correction factors'!$B$7</f>
        <v>2516.28</v>
      </c>
      <c r="D100" s="13" t="n">
        <v>2.286629</v>
      </c>
      <c r="E100" s="14" t="n">
        <v>496</v>
      </c>
      <c r="F100" s="10" t="n">
        <f aca="false">E100/'Correction factors'!$B$10</f>
        <v>40.0024</v>
      </c>
      <c r="G100" s="11" t="n">
        <v>510</v>
      </c>
    </row>
    <row r="101" customFormat="false" ht="15" hidden="false" customHeight="false" outlineLevel="0" collapsed="false">
      <c r="A101" s="10" t="n">
        <v>21.8111672401428</v>
      </c>
      <c r="B101" s="11" t="n">
        <v>520</v>
      </c>
      <c r="C101" s="12" t="n">
        <f aca="false">B101*'Correction factors'!$B$7</f>
        <v>2516.28</v>
      </c>
      <c r="D101" s="13" t="n">
        <v>2.276807</v>
      </c>
      <c r="E101" s="14" t="n">
        <v>496</v>
      </c>
      <c r="F101" s="10" t="n">
        <f aca="false">E101/'Correction factors'!$B$10</f>
        <v>40.0024</v>
      </c>
      <c r="G101" s="11" t="n">
        <v>510</v>
      </c>
    </row>
    <row r="102" customFormat="false" ht="15" hidden="false" customHeight="false" outlineLevel="0" collapsed="false">
      <c r="A102" s="10" t="n">
        <v>22.2583432197571</v>
      </c>
      <c r="B102" s="11" t="n">
        <v>500</v>
      </c>
      <c r="C102" s="12" t="n">
        <f aca="false">B102*'Correction factors'!$B$7</f>
        <v>2419.5</v>
      </c>
      <c r="D102" s="13" t="n">
        <v>2.266986</v>
      </c>
      <c r="E102" s="14" t="n">
        <v>488</v>
      </c>
      <c r="F102" s="10" t="n">
        <f aca="false">E102/'Correction factors'!$B$10</f>
        <v>39.3572</v>
      </c>
      <c r="G102" s="11" t="n">
        <v>510</v>
      </c>
    </row>
    <row r="103" customFormat="false" ht="15" hidden="false" customHeight="false" outlineLevel="0" collapsed="false">
      <c r="A103" s="10" t="n">
        <v>22.2583432197571</v>
      </c>
      <c r="B103" s="11" t="n">
        <v>520</v>
      </c>
      <c r="C103" s="12" t="n">
        <f aca="false">B103*'Correction factors'!$B$7</f>
        <v>2516.28</v>
      </c>
      <c r="D103" s="13" t="n">
        <v>2.257164</v>
      </c>
      <c r="E103" s="14" t="n">
        <v>488</v>
      </c>
      <c r="F103" s="10" t="n">
        <f aca="false">E103/'Correction factors'!$B$10</f>
        <v>39.3572</v>
      </c>
      <c r="G103" s="11" t="n">
        <v>510</v>
      </c>
    </row>
    <row r="104" customFormat="false" ht="15" hidden="false" customHeight="false" outlineLevel="0" collapsed="false">
      <c r="A104" s="10" t="n">
        <v>22.7010407447815</v>
      </c>
      <c r="B104" s="11" t="n">
        <v>540</v>
      </c>
      <c r="C104" s="12" t="n">
        <f aca="false">B104*'Correction factors'!$B$7</f>
        <v>2613.06</v>
      </c>
      <c r="D104" s="13" t="n">
        <v>2.257164</v>
      </c>
      <c r="E104" s="14" t="n">
        <v>480</v>
      </c>
      <c r="F104" s="10" t="n">
        <f aca="false">E104/'Correction factors'!$B$10</f>
        <v>38.712</v>
      </c>
      <c r="G104" s="11" t="n">
        <v>510</v>
      </c>
    </row>
    <row r="105" customFormat="false" ht="15" hidden="false" customHeight="false" outlineLevel="0" collapsed="false">
      <c r="A105" s="10" t="n">
        <v>22.7010407447815</v>
      </c>
      <c r="B105" s="11" t="n">
        <v>520</v>
      </c>
      <c r="C105" s="12" t="n">
        <f aca="false">B105*'Correction factors'!$B$7</f>
        <v>2516.28</v>
      </c>
      <c r="D105" s="13" t="n">
        <v>2.247343</v>
      </c>
      <c r="E105" s="14" t="n">
        <v>488</v>
      </c>
      <c r="F105" s="10" t="n">
        <f aca="false">E105/'Correction factors'!$B$10</f>
        <v>39.3572</v>
      </c>
      <c r="G105" s="11" t="n">
        <v>510</v>
      </c>
    </row>
    <row r="106" customFormat="false" ht="15" hidden="false" customHeight="false" outlineLevel="0" collapsed="false">
      <c r="A106" s="10" t="n">
        <v>23.127405166626</v>
      </c>
      <c r="B106" s="11" t="n">
        <v>540</v>
      </c>
      <c r="C106" s="12" t="n">
        <f aca="false">B106*'Correction factors'!$B$7</f>
        <v>2613.06</v>
      </c>
      <c r="D106" s="13" t="n">
        <v>2.237521</v>
      </c>
      <c r="E106" s="14" t="n">
        <v>480</v>
      </c>
      <c r="F106" s="10" t="n">
        <f aca="false">E106/'Correction factors'!$B$10</f>
        <v>38.712</v>
      </c>
      <c r="G106" s="11" t="n">
        <v>510</v>
      </c>
    </row>
    <row r="107" customFormat="false" ht="15" hidden="false" customHeight="false" outlineLevel="0" collapsed="false">
      <c r="A107" s="10" t="n">
        <v>23.127405166626</v>
      </c>
      <c r="B107" s="11" t="n">
        <v>520</v>
      </c>
      <c r="C107" s="12" t="n">
        <f aca="false">B107*'Correction factors'!$B$7</f>
        <v>2516.28</v>
      </c>
      <c r="D107" s="13" t="n">
        <v>2.227699</v>
      </c>
      <c r="E107" s="14" t="n">
        <v>480</v>
      </c>
      <c r="F107" s="10" t="n">
        <f aca="false">E107/'Correction factors'!$B$10</f>
        <v>38.712</v>
      </c>
      <c r="G107" s="11" t="n">
        <v>510</v>
      </c>
    </row>
    <row r="108" customFormat="false" ht="15" hidden="false" customHeight="false" outlineLevel="0" collapsed="false">
      <c r="A108" s="10" t="n">
        <v>23.5563893318176</v>
      </c>
      <c r="B108" s="11" t="n">
        <v>500</v>
      </c>
      <c r="C108" s="12" t="n">
        <f aca="false">B108*'Correction factors'!$B$7</f>
        <v>2419.5</v>
      </c>
      <c r="D108" s="13" t="n">
        <v>2.217878</v>
      </c>
      <c r="E108" s="14" t="n">
        <v>472</v>
      </c>
      <c r="F108" s="10" t="n">
        <f aca="false">E108/'Correction factors'!$B$10</f>
        <v>38.0668</v>
      </c>
      <c r="G108" s="11" t="n">
        <v>510</v>
      </c>
    </row>
    <row r="109" customFormat="false" ht="15" hidden="false" customHeight="false" outlineLevel="0" collapsed="false">
      <c r="A109" s="10" t="n">
        <v>23.5563893318176</v>
      </c>
      <c r="B109" s="11" t="n">
        <v>500</v>
      </c>
      <c r="C109" s="12" t="n">
        <f aca="false">B109*'Correction factors'!$B$7</f>
        <v>2419.5</v>
      </c>
      <c r="D109" s="13" t="n">
        <v>2.198235</v>
      </c>
      <c r="E109" s="14" t="n">
        <v>480</v>
      </c>
      <c r="F109" s="10" t="n">
        <f aca="false">E109/'Correction factors'!$B$10</f>
        <v>38.712</v>
      </c>
      <c r="G109" s="11" t="n">
        <v>510</v>
      </c>
    </row>
    <row r="110" customFormat="false" ht="15" hidden="false" customHeight="false" outlineLevel="0" collapsed="false">
      <c r="A110" s="10" t="n">
        <v>23.9756162166596</v>
      </c>
      <c r="B110" s="11" t="n">
        <v>500</v>
      </c>
      <c r="C110" s="12" t="n">
        <f aca="false">B110*'Correction factors'!$B$7</f>
        <v>2419.5</v>
      </c>
      <c r="D110" s="13" t="n">
        <v>2.198235</v>
      </c>
      <c r="E110" s="14" t="n">
        <v>464</v>
      </c>
      <c r="F110" s="10" t="n">
        <f aca="false">E110/'Correction factors'!$B$10</f>
        <v>37.4216</v>
      </c>
      <c r="G110" s="11" t="n">
        <v>510</v>
      </c>
    </row>
    <row r="111" customFormat="false" ht="15" hidden="false" customHeight="false" outlineLevel="0" collapsed="false">
      <c r="A111" s="10" t="n">
        <v>23.9756162166596</v>
      </c>
      <c r="B111" s="11" t="n">
        <v>500</v>
      </c>
      <c r="C111" s="12" t="n">
        <f aca="false">B111*'Correction factors'!$B$7</f>
        <v>2419.5</v>
      </c>
      <c r="D111" s="13" t="n">
        <v>2.188413</v>
      </c>
      <c r="E111" s="14" t="n">
        <v>472</v>
      </c>
      <c r="F111" s="10" t="n">
        <f aca="false">E111/'Correction factors'!$B$10</f>
        <v>38.0668</v>
      </c>
      <c r="G111" s="11" t="n">
        <v>510</v>
      </c>
    </row>
    <row r="112" customFormat="false" ht="15" hidden="false" customHeight="false" outlineLevel="0" collapsed="false">
      <c r="A112" s="10" t="n">
        <v>24.4081766605377</v>
      </c>
      <c r="B112" s="11" t="n">
        <v>500</v>
      </c>
      <c r="C112" s="12" t="n">
        <f aca="false">B112*'Correction factors'!$B$7</f>
        <v>2419.5</v>
      </c>
      <c r="D112" s="13" t="n">
        <v>2.178591</v>
      </c>
      <c r="E112" s="14" t="n">
        <v>472</v>
      </c>
      <c r="F112" s="10" t="n">
        <f aca="false">E112/'Correction factors'!$B$10</f>
        <v>38.0668</v>
      </c>
      <c r="G112" s="11" t="n">
        <v>510</v>
      </c>
    </row>
    <row r="113" customFormat="false" ht="15" hidden="false" customHeight="false" outlineLevel="0" collapsed="false">
      <c r="A113" s="10" t="n">
        <v>24.4081766605377</v>
      </c>
      <c r="B113" s="11" t="n">
        <v>500</v>
      </c>
      <c r="C113" s="12" t="n">
        <f aca="false">B113*'Correction factors'!$B$7</f>
        <v>2419.5</v>
      </c>
      <c r="D113" s="13" t="n">
        <v>2.178591</v>
      </c>
      <c r="E113" s="14" t="n">
        <v>464</v>
      </c>
      <c r="F113" s="10" t="n">
        <f aca="false">E113/'Correction factors'!$B$10</f>
        <v>37.4216</v>
      </c>
      <c r="G113" s="11" t="n">
        <v>510</v>
      </c>
    </row>
    <row r="114" customFormat="false" ht="15" hidden="false" customHeight="false" outlineLevel="0" collapsed="false">
      <c r="A114" s="10" t="n">
        <v>24.4081766605377</v>
      </c>
      <c r="B114" s="11" t="n">
        <v>500</v>
      </c>
      <c r="C114" s="12" t="n">
        <f aca="false">B114*'Correction factors'!$B$7</f>
        <v>2419.5</v>
      </c>
      <c r="D114" s="13" t="n">
        <v>2.178591</v>
      </c>
      <c r="E114" s="14" t="n">
        <v>464</v>
      </c>
      <c r="F114" s="10" t="n">
        <f aca="false">E114/'Correction factors'!$B$10</f>
        <v>37.4216</v>
      </c>
      <c r="G114" s="11" t="n">
        <v>510</v>
      </c>
    </row>
    <row r="115" customFormat="false" ht="15" hidden="false" customHeight="false" outlineLevel="0" collapsed="false">
      <c r="A115" s="10" t="n">
        <v>24.9130320549011</v>
      </c>
      <c r="B115" s="11" t="n">
        <v>500</v>
      </c>
      <c r="C115" s="12" t="n">
        <f aca="false">B115*'Correction factors'!$B$7</f>
        <v>2419.5</v>
      </c>
      <c r="D115" s="13" t="n">
        <v>2.158948</v>
      </c>
      <c r="E115" s="14" t="n">
        <v>464</v>
      </c>
      <c r="F115" s="10" t="n">
        <f aca="false">E115/'Correction factors'!$B$10</f>
        <v>37.4216</v>
      </c>
      <c r="G115" s="11" t="n">
        <v>510</v>
      </c>
    </row>
    <row r="116" customFormat="false" ht="15" hidden="false" customHeight="false" outlineLevel="0" collapsed="false">
      <c r="A116" s="10" t="n">
        <v>24.9130320549011</v>
      </c>
      <c r="B116" s="11" t="n">
        <v>500</v>
      </c>
      <c r="C116" s="12" t="n">
        <f aca="false">B116*'Correction factors'!$B$7</f>
        <v>2419.5</v>
      </c>
      <c r="D116" s="13" t="n">
        <v>2.16877</v>
      </c>
      <c r="E116" s="14" t="n">
        <v>464</v>
      </c>
      <c r="F116" s="10" t="n">
        <f aca="false">E116/'Correction factors'!$B$10</f>
        <v>37.4216</v>
      </c>
      <c r="G116" s="11" t="n">
        <v>510</v>
      </c>
    </row>
    <row r="117" customFormat="false" ht="15" hidden="false" customHeight="false" outlineLevel="0" collapsed="false">
      <c r="A117" s="10" t="n">
        <v>25.3762545585632</v>
      </c>
      <c r="B117" s="11" t="n">
        <v>480</v>
      </c>
      <c r="C117" s="12" t="n">
        <f aca="false">B117*'Correction factors'!$B$7</f>
        <v>2322.72</v>
      </c>
      <c r="D117" s="13" t="n">
        <v>2.149127</v>
      </c>
      <c r="E117" s="14" t="n">
        <v>456</v>
      </c>
      <c r="F117" s="10" t="n">
        <f aca="false">E117/'Correction factors'!$B$10</f>
        <v>36.7764</v>
      </c>
      <c r="G117" s="11" t="n">
        <v>510</v>
      </c>
    </row>
    <row r="118" customFormat="false" ht="15" hidden="false" customHeight="false" outlineLevel="0" collapsed="false">
      <c r="A118" s="10" t="n">
        <v>25.3762545585632</v>
      </c>
      <c r="B118" s="11" t="n">
        <v>460</v>
      </c>
      <c r="C118" s="12" t="n">
        <f aca="false">B118*'Correction factors'!$B$7</f>
        <v>2225.94</v>
      </c>
      <c r="D118" s="13" t="n">
        <v>2.149127</v>
      </c>
      <c r="E118" s="14" t="n">
        <v>464</v>
      </c>
      <c r="F118" s="10" t="n">
        <f aca="false">E118/'Correction factors'!$B$10</f>
        <v>37.4216</v>
      </c>
      <c r="G118" s="11" t="n">
        <v>510</v>
      </c>
    </row>
    <row r="119" customFormat="false" ht="15" hidden="false" customHeight="false" outlineLevel="0" collapsed="false">
      <c r="A119" s="10" t="n">
        <v>25.8265171051025</v>
      </c>
      <c r="B119" s="11" t="n">
        <v>480</v>
      </c>
      <c r="C119" s="12" t="n">
        <f aca="false">B119*'Correction factors'!$B$7</f>
        <v>2322.72</v>
      </c>
      <c r="D119" s="13" t="n">
        <v>2.149127</v>
      </c>
      <c r="E119" s="14" t="n">
        <v>456</v>
      </c>
      <c r="F119" s="10" t="n">
        <f aca="false">E119/'Correction factors'!$B$10</f>
        <v>36.7764</v>
      </c>
      <c r="G119" s="11" t="n">
        <v>510</v>
      </c>
    </row>
    <row r="120" customFormat="false" ht="15" hidden="false" customHeight="false" outlineLevel="0" collapsed="false">
      <c r="A120" s="10" t="n">
        <v>25.8265171051025</v>
      </c>
      <c r="B120" s="11" t="n">
        <v>480</v>
      </c>
      <c r="C120" s="12" t="n">
        <f aca="false">B120*'Correction factors'!$B$7</f>
        <v>2322.72</v>
      </c>
      <c r="D120" s="13" t="n">
        <v>2.139305</v>
      </c>
      <c r="E120" s="14" t="n">
        <v>456</v>
      </c>
      <c r="F120" s="10" t="n">
        <f aca="false">E120/'Correction factors'!$B$10</f>
        <v>36.7764</v>
      </c>
      <c r="G120" s="11" t="n">
        <v>510</v>
      </c>
    </row>
    <row r="121" customFormat="false" ht="15" hidden="false" customHeight="false" outlineLevel="0" collapsed="false">
      <c r="A121" s="10" t="n">
        <v>26.2635202407837</v>
      </c>
      <c r="B121" s="11" t="n">
        <v>480</v>
      </c>
      <c r="C121" s="12" t="n">
        <f aca="false">B121*'Correction factors'!$B$7</f>
        <v>2322.72</v>
      </c>
      <c r="D121" s="13" t="n">
        <v>2.129483</v>
      </c>
      <c r="E121" s="14" t="n">
        <v>456</v>
      </c>
      <c r="F121" s="10" t="n">
        <f aca="false">E121/'Correction factors'!$B$10</f>
        <v>36.7764</v>
      </c>
      <c r="G121" s="11" t="n">
        <v>510</v>
      </c>
    </row>
    <row r="122" customFormat="false" ht="15" hidden="false" customHeight="false" outlineLevel="0" collapsed="false">
      <c r="A122" s="10" t="n">
        <v>26.2635202407837</v>
      </c>
      <c r="B122" s="11" t="n">
        <v>480</v>
      </c>
      <c r="C122" s="12" t="n">
        <f aca="false">B122*'Correction factors'!$B$7</f>
        <v>2322.72</v>
      </c>
      <c r="D122" s="13" t="n">
        <v>2.129483</v>
      </c>
      <c r="E122" s="14" t="n">
        <v>456</v>
      </c>
      <c r="F122" s="10" t="n">
        <f aca="false">E122/'Correction factors'!$B$10</f>
        <v>36.7764</v>
      </c>
      <c r="G122" s="11" t="n">
        <v>510</v>
      </c>
    </row>
    <row r="123" customFormat="false" ht="15" hidden="false" customHeight="false" outlineLevel="0" collapsed="false">
      <c r="A123" s="10" t="n">
        <v>26.7085192203522</v>
      </c>
      <c r="B123" s="11" t="n">
        <v>460</v>
      </c>
      <c r="C123" s="12" t="n">
        <f aca="false">B123*'Correction factors'!$B$7</f>
        <v>2225.94</v>
      </c>
      <c r="D123" s="13" t="n">
        <v>2.119662</v>
      </c>
      <c r="E123" s="14" t="n">
        <v>448</v>
      </c>
      <c r="F123" s="10" t="n">
        <f aca="false">E123/'Correction factors'!$B$10</f>
        <v>36.1312</v>
      </c>
      <c r="G123" s="11" t="n">
        <v>510</v>
      </c>
    </row>
    <row r="124" customFormat="false" ht="15" hidden="false" customHeight="false" outlineLevel="0" collapsed="false">
      <c r="A124" s="10" t="n">
        <v>26.7085192203522</v>
      </c>
      <c r="B124" s="11" t="n">
        <v>480</v>
      </c>
      <c r="C124" s="12" t="n">
        <f aca="false">B124*'Correction factors'!$B$7</f>
        <v>2322.72</v>
      </c>
      <c r="D124" s="13" t="n">
        <v>2.119662</v>
      </c>
      <c r="E124" s="14" t="n">
        <v>456</v>
      </c>
      <c r="F124" s="10" t="n">
        <f aca="false">E124/'Correction factors'!$B$10</f>
        <v>36.7764</v>
      </c>
      <c r="G124" s="11" t="n">
        <v>510</v>
      </c>
    </row>
    <row r="125" customFormat="false" ht="15" hidden="false" customHeight="false" outlineLevel="0" collapsed="false">
      <c r="A125" s="10" t="n">
        <v>26.7085192203522</v>
      </c>
      <c r="B125" s="11" t="n">
        <v>460</v>
      </c>
      <c r="C125" s="12" t="n">
        <f aca="false">B125*'Correction factors'!$B$7</f>
        <v>2225.94</v>
      </c>
      <c r="D125" s="13" t="n">
        <v>2.10984</v>
      </c>
      <c r="E125" s="14" t="n">
        <v>456</v>
      </c>
      <c r="F125" s="10" t="n">
        <f aca="false">E125/'Correction factors'!$B$10</f>
        <v>36.7764</v>
      </c>
      <c r="G125" s="11" t="n">
        <v>510</v>
      </c>
    </row>
    <row r="126" customFormat="false" ht="15" hidden="false" customHeight="false" outlineLevel="0" collapsed="false">
      <c r="A126" s="10" t="n">
        <v>27.1950662136078</v>
      </c>
      <c r="B126" s="11" t="n">
        <v>460</v>
      </c>
      <c r="C126" s="12" t="n">
        <f aca="false">B126*'Correction factors'!$B$7</f>
        <v>2225.94</v>
      </c>
      <c r="D126" s="13" t="n">
        <v>2.10984</v>
      </c>
      <c r="E126" s="14" t="n">
        <v>448</v>
      </c>
      <c r="F126" s="10" t="n">
        <f aca="false">E126/'Correction factors'!$B$10</f>
        <v>36.1312</v>
      </c>
      <c r="G126" s="11" t="n">
        <v>510</v>
      </c>
    </row>
    <row r="127" customFormat="false" ht="15" hidden="false" customHeight="false" outlineLevel="0" collapsed="false">
      <c r="A127" s="10" t="n">
        <v>27.1950662136078</v>
      </c>
      <c r="B127" s="11" t="n">
        <v>460</v>
      </c>
      <c r="C127" s="12" t="n">
        <f aca="false">B127*'Correction factors'!$B$7</f>
        <v>2225.94</v>
      </c>
      <c r="D127" s="13" t="n">
        <v>2.10984</v>
      </c>
      <c r="E127" s="14" t="n">
        <v>448</v>
      </c>
      <c r="F127" s="10" t="n">
        <f aca="false">E127/'Correction factors'!$B$10</f>
        <v>36.1312</v>
      </c>
      <c r="G127" s="11" t="n">
        <v>510</v>
      </c>
    </row>
    <row r="128" customFormat="false" ht="15" hidden="false" customHeight="false" outlineLevel="0" collapsed="false">
      <c r="A128" s="10" t="n">
        <v>27.6470515727997</v>
      </c>
      <c r="B128" s="11" t="n">
        <v>460</v>
      </c>
      <c r="C128" s="12" t="n">
        <f aca="false">B128*'Correction factors'!$B$7</f>
        <v>2225.94</v>
      </c>
      <c r="D128" s="13" t="n">
        <v>2.10984</v>
      </c>
      <c r="E128" s="14" t="n">
        <v>448</v>
      </c>
      <c r="F128" s="10" t="n">
        <f aca="false">E128/'Correction factors'!$B$10</f>
        <v>36.1312</v>
      </c>
      <c r="G128" s="11" t="n">
        <v>510</v>
      </c>
    </row>
    <row r="129" customFormat="false" ht="15" hidden="false" customHeight="false" outlineLevel="0" collapsed="false">
      <c r="A129" s="10" t="n">
        <v>27.6470515727997</v>
      </c>
      <c r="B129" s="11" t="n">
        <v>460</v>
      </c>
      <c r="C129" s="12" t="n">
        <f aca="false">B129*'Correction factors'!$B$7</f>
        <v>2225.94</v>
      </c>
      <c r="D129" s="13" t="n">
        <v>2.100019</v>
      </c>
      <c r="E129" s="14" t="n">
        <v>448</v>
      </c>
      <c r="F129" s="10" t="n">
        <f aca="false">E129/'Correction factors'!$B$10</f>
        <v>36.1312</v>
      </c>
      <c r="G129" s="11" t="n">
        <v>510</v>
      </c>
    </row>
    <row r="130" customFormat="false" ht="15" hidden="false" customHeight="false" outlineLevel="0" collapsed="false">
      <c r="A130" s="10" t="n">
        <v>28.0912084579468</v>
      </c>
      <c r="B130" s="11" t="n">
        <v>480</v>
      </c>
      <c r="C130" s="12" t="n">
        <f aca="false">B130*'Correction factors'!$B$7</f>
        <v>2322.72</v>
      </c>
      <c r="D130" s="13" t="n">
        <v>2.090197</v>
      </c>
      <c r="E130" s="14" t="n">
        <v>448</v>
      </c>
      <c r="F130" s="10" t="n">
        <f aca="false">E130/'Correction factors'!$B$10</f>
        <v>36.1312</v>
      </c>
      <c r="G130" s="11" t="n">
        <v>510</v>
      </c>
    </row>
    <row r="131" customFormat="false" ht="15" hidden="false" customHeight="false" outlineLevel="0" collapsed="false">
      <c r="A131" s="10" t="n">
        <v>28.0912084579468</v>
      </c>
      <c r="B131" s="11" t="n">
        <v>460</v>
      </c>
      <c r="C131" s="12" t="n">
        <f aca="false">B131*'Correction factors'!$B$7</f>
        <v>2225.94</v>
      </c>
      <c r="D131" s="13" t="n">
        <v>2.100019</v>
      </c>
      <c r="E131" s="14" t="n">
        <v>448</v>
      </c>
      <c r="F131" s="10" t="n">
        <f aca="false">E131/'Correction factors'!$B$10</f>
        <v>36.1312</v>
      </c>
      <c r="G131" s="11" t="n">
        <v>510</v>
      </c>
    </row>
    <row r="132" customFormat="false" ht="15" hidden="false" customHeight="false" outlineLevel="0" collapsed="false">
      <c r="A132" s="10" t="n">
        <v>28.5365009307861</v>
      </c>
      <c r="B132" s="11" t="n">
        <v>460</v>
      </c>
      <c r="C132" s="12" t="n">
        <f aca="false">B132*'Correction factors'!$B$7</f>
        <v>2225.94</v>
      </c>
      <c r="D132" s="13" t="n">
        <v>2.100019</v>
      </c>
      <c r="E132" s="14" t="n">
        <v>440</v>
      </c>
      <c r="F132" s="10" t="n">
        <f aca="false">E132/'Correction factors'!$B$10</f>
        <v>35.486</v>
      </c>
      <c r="G132" s="11" t="n">
        <v>510</v>
      </c>
    </row>
    <row r="133" customFormat="false" ht="15" hidden="false" customHeight="false" outlineLevel="0" collapsed="false">
      <c r="A133" s="10" t="n">
        <v>28.5365009307861</v>
      </c>
      <c r="B133" s="11" t="n">
        <v>460</v>
      </c>
      <c r="C133" s="12" t="n">
        <f aca="false">B133*'Correction factors'!$B$7</f>
        <v>2225.94</v>
      </c>
      <c r="D133" s="13" t="n">
        <v>2.080375</v>
      </c>
      <c r="E133" s="14" t="n">
        <v>448</v>
      </c>
      <c r="F133" s="10" t="n">
        <f aca="false">E133/'Correction factors'!$B$10</f>
        <v>36.1312</v>
      </c>
      <c r="G133" s="11" t="n">
        <v>510</v>
      </c>
    </row>
    <row r="134" customFormat="false" ht="15" hidden="false" customHeight="false" outlineLevel="0" collapsed="false">
      <c r="A134" s="10" t="n">
        <v>28.9870331287384</v>
      </c>
      <c r="B134" s="11" t="n">
        <v>480</v>
      </c>
      <c r="C134" s="12" t="n">
        <f aca="false">B134*'Correction factors'!$B$7</f>
        <v>2322.72</v>
      </c>
      <c r="D134" s="13" t="n">
        <v>2.090197</v>
      </c>
      <c r="E134" s="14" t="n">
        <v>440</v>
      </c>
      <c r="F134" s="10" t="n">
        <f aca="false">E134/'Correction factors'!$B$10</f>
        <v>35.486</v>
      </c>
      <c r="G134" s="11" t="n">
        <v>510</v>
      </c>
    </row>
    <row r="135" customFormat="false" ht="15" hidden="false" customHeight="false" outlineLevel="0" collapsed="false">
      <c r="A135" s="10" t="n">
        <v>28.9870331287384</v>
      </c>
      <c r="B135" s="11" t="n">
        <v>440</v>
      </c>
      <c r="C135" s="12" t="n">
        <f aca="false">B135*'Correction factors'!$B$7</f>
        <v>2129.16</v>
      </c>
      <c r="D135" s="13" t="n">
        <v>2.080375</v>
      </c>
      <c r="E135" s="14" t="n">
        <v>440</v>
      </c>
      <c r="F135" s="10" t="n">
        <f aca="false">E135/'Correction factors'!$B$10</f>
        <v>35.486</v>
      </c>
      <c r="G135" s="11" t="n">
        <v>510</v>
      </c>
    </row>
    <row r="136" customFormat="false" ht="15" hidden="false" customHeight="false" outlineLevel="0" collapsed="false">
      <c r="A136" s="10" t="n">
        <v>28.9870331287384</v>
      </c>
      <c r="B136" s="11" t="n">
        <v>460</v>
      </c>
      <c r="C136" s="12" t="n">
        <f aca="false">B136*'Correction factors'!$B$7</f>
        <v>2225.94</v>
      </c>
      <c r="D136" s="13" t="n">
        <v>2.070554</v>
      </c>
      <c r="E136" s="14" t="n">
        <v>448</v>
      </c>
      <c r="F136" s="10" t="n">
        <f aca="false">E136/'Correction factors'!$B$10</f>
        <v>36.1312</v>
      </c>
      <c r="G136" s="11" t="n">
        <v>510</v>
      </c>
    </row>
    <row r="137" customFormat="false" ht="15" hidden="false" customHeight="false" outlineLevel="0" collapsed="false">
      <c r="A137" s="10" t="n">
        <v>29.4766278266907</v>
      </c>
      <c r="B137" s="11" t="n">
        <v>460</v>
      </c>
      <c r="C137" s="12" t="n">
        <f aca="false">B137*'Correction factors'!$B$7</f>
        <v>2225.94</v>
      </c>
      <c r="D137" s="13" t="n">
        <v>2.070554</v>
      </c>
      <c r="E137" s="14" t="n">
        <v>440</v>
      </c>
      <c r="F137" s="10" t="n">
        <f aca="false">E137/'Correction factors'!$B$10</f>
        <v>35.486</v>
      </c>
      <c r="G137" s="11" t="n">
        <v>510</v>
      </c>
    </row>
    <row r="138" customFormat="false" ht="15" hidden="false" customHeight="false" outlineLevel="0" collapsed="false">
      <c r="A138" s="10" t="n">
        <v>29.4766278266907</v>
      </c>
      <c r="B138" s="11" t="n">
        <v>460</v>
      </c>
      <c r="C138" s="12" t="n">
        <f aca="false">B138*'Correction factors'!$B$7</f>
        <v>2225.94</v>
      </c>
      <c r="D138" s="13" t="n">
        <v>2.080375</v>
      </c>
      <c r="E138" s="14" t="n">
        <v>440</v>
      </c>
      <c r="F138" s="10" t="n">
        <f aca="false">E138/'Correction factors'!$B$10</f>
        <v>35.486</v>
      </c>
      <c r="G138" s="11" t="n">
        <v>510</v>
      </c>
    </row>
    <row r="139" customFormat="false" ht="15" hidden="false" customHeight="false" outlineLevel="0" collapsed="false">
      <c r="A139" s="10" t="n">
        <v>29.9676330089569</v>
      </c>
      <c r="B139" s="11" t="n">
        <v>440</v>
      </c>
      <c r="C139" s="12" t="n">
        <f aca="false">B139*'Correction factors'!$B$7</f>
        <v>2129.16</v>
      </c>
      <c r="D139" s="13" t="n">
        <v>2.060732</v>
      </c>
      <c r="E139" s="14" t="n">
        <v>440</v>
      </c>
      <c r="F139" s="10" t="n">
        <f aca="false">E139/'Correction factors'!$B$10</f>
        <v>35.486</v>
      </c>
      <c r="G139" s="11" t="n">
        <v>510</v>
      </c>
    </row>
    <row r="140" customFormat="false" ht="15" hidden="false" customHeight="false" outlineLevel="0" collapsed="false">
      <c r="A140" s="10" t="n">
        <v>29.9676330089569</v>
      </c>
      <c r="B140" s="11" t="n">
        <v>460</v>
      </c>
      <c r="C140" s="12" t="n">
        <f aca="false">B140*'Correction factors'!$B$7</f>
        <v>2225.94</v>
      </c>
      <c r="D140" s="13" t="n">
        <v>2.070554</v>
      </c>
      <c r="E140" s="14" t="n">
        <v>440</v>
      </c>
      <c r="F140" s="10" t="n">
        <f aca="false">E140/'Correction factors'!$B$10</f>
        <v>35.486</v>
      </c>
      <c r="G140" s="11" t="n">
        <v>510</v>
      </c>
    </row>
    <row r="141" customFormat="false" ht="15" hidden="false" customHeight="false" outlineLevel="0" collapsed="false">
      <c r="A141" s="10" t="n">
        <v>30.4198322296143</v>
      </c>
      <c r="B141" s="11" t="n">
        <v>440</v>
      </c>
      <c r="C141" s="12" t="n">
        <f aca="false">B141*'Correction factors'!$B$7</f>
        <v>2129.16</v>
      </c>
      <c r="D141" s="13" t="n">
        <v>2.060732</v>
      </c>
      <c r="E141" s="14" t="n">
        <v>432</v>
      </c>
      <c r="F141" s="10" t="n">
        <f aca="false">E141/'Correction factors'!$B$10</f>
        <v>34.8408</v>
      </c>
      <c r="G141" s="11" t="n">
        <v>510</v>
      </c>
    </row>
    <row r="142" customFormat="false" ht="15" hidden="false" customHeight="false" outlineLevel="0" collapsed="false">
      <c r="A142" s="10" t="n">
        <v>30.4198322296143</v>
      </c>
      <c r="B142" s="11" t="n">
        <v>440</v>
      </c>
      <c r="C142" s="12" t="n">
        <f aca="false">B142*'Correction factors'!$B$7</f>
        <v>2129.16</v>
      </c>
      <c r="D142" s="13" t="n">
        <v>2.05091</v>
      </c>
      <c r="E142" s="14" t="n">
        <v>440</v>
      </c>
      <c r="F142" s="10" t="n">
        <f aca="false">E142/'Correction factors'!$B$10</f>
        <v>35.486</v>
      </c>
      <c r="G142" s="11" t="n">
        <v>510</v>
      </c>
    </row>
    <row r="143" customFormat="false" ht="15" hidden="false" customHeight="false" outlineLevel="0" collapsed="false">
      <c r="A143" s="10" t="n">
        <v>30.8765103816986</v>
      </c>
      <c r="B143" s="11" t="n">
        <v>460</v>
      </c>
      <c r="C143" s="12" t="n">
        <f aca="false">B143*'Correction factors'!$B$7</f>
        <v>2225.94</v>
      </c>
      <c r="D143" s="13" t="n">
        <v>2.05091</v>
      </c>
      <c r="E143" s="14" t="n">
        <v>440</v>
      </c>
      <c r="F143" s="10" t="n">
        <f aca="false">E143/'Correction factors'!$B$10</f>
        <v>35.486</v>
      </c>
      <c r="G143" s="11" t="n">
        <v>510</v>
      </c>
    </row>
    <row r="144" customFormat="false" ht="15" hidden="false" customHeight="false" outlineLevel="0" collapsed="false">
      <c r="A144" s="10" t="n">
        <v>30.8765103816986</v>
      </c>
      <c r="B144" s="11" t="n">
        <v>440</v>
      </c>
      <c r="C144" s="12" t="n">
        <f aca="false">B144*'Correction factors'!$B$7</f>
        <v>2129.16</v>
      </c>
      <c r="D144" s="13" t="n">
        <v>2.05091</v>
      </c>
      <c r="E144" s="14" t="n">
        <v>440</v>
      </c>
      <c r="F144" s="10" t="n">
        <f aca="false">E144/'Correction factors'!$B$10</f>
        <v>35.486</v>
      </c>
      <c r="G144" s="11" t="n">
        <v>510</v>
      </c>
    </row>
    <row r="145" customFormat="false" ht="15" hidden="false" customHeight="false" outlineLevel="0" collapsed="false">
      <c r="A145" s="10" t="n">
        <v>30.8765103816986</v>
      </c>
      <c r="B145" s="11" t="n">
        <v>460</v>
      </c>
      <c r="C145" s="12" t="n">
        <f aca="false">B145*'Correction factors'!$B$7</f>
        <v>2225.94</v>
      </c>
      <c r="D145" s="13" t="n">
        <v>2.05091</v>
      </c>
      <c r="E145" s="14" t="n">
        <v>432</v>
      </c>
      <c r="F145" s="10" t="n">
        <f aca="false">E145/'Correction factors'!$B$10</f>
        <v>34.8408</v>
      </c>
      <c r="G145" s="11" t="n">
        <v>510</v>
      </c>
    </row>
    <row r="146" customFormat="false" ht="15" hidden="false" customHeight="false" outlineLevel="0" collapsed="false">
      <c r="A146" s="10" t="n">
        <v>31.3599328994751</v>
      </c>
      <c r="B146" s="11" t="n">
        <v>460</v>
      </c>
      <c r="C146" s="12" t="n">
        <f aca="false">B146*'Correction factors'!$B$7</f>
        <v>2225.94</v>
      </c>
      <c r="D146" s="13" t="n">
        <v>2.031268</v>
      </c>
      <c r="E146" s="14" t="n">
        <v>432</v>
      </c>
      <c r="F146" s="10" t="n">
        <f aca="false">E146/'Correction factors'!$B$10</f>
        <v>34.8408</v>
      </c>
      <c r="G146" s="11" t="n">
        <v>510</v>
      </c>
    </row>
    <row r="147" customFormat="false" ht="15" hidden="false" customHeight="false" outlineLevel="0" collapsed="false">
      <c r="A147" s="10" t="n">
        <v>31.3599328994751</v>
      </c>
      <c r="B147" s="11" t="n">
        <v>440</v>
      </c>
      <c r="C147" s="12" t="n">
        <f aca="false">B147*'Correction factors'!$B$7</f>
        <v>2129.16</v>
      </c>
      <c r="D147" s="13" t="n">
        <v>2.041089</v>
      </c>
      <c r="E147" s="14" t="n">
        <v>440</v>
      </c>
      <c r="F147" s="10" t="n">
        <f aca="false">E147/'Correction factors'!$B$10</f>
        <v>35.486</v>
      </c>
      <c r="G147" s="11" t="n">
        <v>510</v>
      </c>
    </row>
    <row r="148" customFormat="false" ht="15" hidden="false" customHeight="false" outlineLevel="0" collapsed="false">
      <c r="A148" s="10" t="n">
        <v>31.8127920627594</v>
      </c>
      <c r="B148" s="11" t="n">
        <v>440</v>
      </c>
      <c r="C148" s="12" t="n">
        <f aca="false">B148*'Correction factors'!$B$7</f>
        <v>2129.16</v>
      </c>
      <c r="D148" s="13" t="n">
        <v>2.031268</v>
      </c>
      <c r="E148" s="14" t="n">
        <v>432</v>
      </c>
      <c r="F148" s="10" t="n">
        <f aca="false">E148/'Correction factors'!$B$10</f>
        <v>34.8408</v>
      </c>
      <c r="G148" s="11" t="n">
        <v>510</v>
      </c>
    </row>
    <row r="149" customFormat="false" ht="15" hidden="false" customHeight="false" outlineLevel="0" collapsed="false">
      <c r="A149" s="10" t="n">
        <v>31.8127920627594</v>
      </c>
      <c r="B149" s="11" t="n">
        <v>440</v>
      </c>
      <c r="C149" s="12" t="n">
        <f aca="false">B149*'Correction factors'!$B$7</f>
        <v>2129.16</v>
      </c>
      <c r="D149" s="13" t="n">
        <v>2.031268</v>
      </c>
      <c r="E149" s="14" t="n">
        <v>432</v>
      </c>
      <c r="F149" s="10" t="n">
        <f aca="false">E149/'Correction factors'!$B$10</f>
        <v>34.8408</v>
      </c>
      <c r="G149" s="11" t="n">
        <v>510</v>
      </c>
    </row>
    <row r="150" customFormat="false" ht="15" hidden="false" customHeight="false" outlineLevel="0" collapsed="false">
      <c r="A150" s="10" t="n">
        <v>32.2548022270203</v>
      </c>
      <c r="B150" s="11" t="n">
        <v>440</v>
      </c>
      <c r="C150" s="12" t="n">
        <f aca="false">B150*'Correction factors'!$B$7</f>
        <v>2129.16</v>
      </c>
      <c r="D150" s="13" t="n">
        <v>2.031268</v>
      </c>
      <c r="E150" s="14" t="n">
        <v>432</v>
      </c>
      <c r="F150" s="10" t="n">
        <f aca="false">E150/'Correction factors'!$B$10</f>
        <v>34.8408</v>
      </c>
      <c r="G150" s="11" t="n">
        <v>510</v>
      </c>
    </row>
    <row r="151" customFormat="false" ht="15" hidden="false" customHeight="false" outlineLevel="0" collapsed="false">
      <c r="A151" s="10" t="n">
        <v>32.2548022270203</v>
      </c>
      <c r="B151" s="11" t="n">
        <v>440</v>
      </c>
      <c r="C151" s="12" t="n">
        <f aca="false">B151*'Correction factors'!$B$7</f>
        <v>2129.16</v>
      </c>
      <c r="D151" s="13" t="n">
        <v>2.031268</v>
      </c>
      <c r="E151" s="14" t="n">
        <v>432</v>
      </c>
      <c r="F151" s="10" t="n">
        <f aca="false">E151/'Correction factors'!$B$10</f>
        <v>34.8408</v>
      </c>
      <c r="G151" s="11" t="n">
        <v>510</v>
      </c>
    </row>
    <row r="152" customFormat="false" ht="15" hidden="false" customHeight="false" outlineLevel="0" collapsed="false">
      <c r="A152" s="10" t="n">
        <v>32.7073218822479</v>
      </c>
      <c r="B152" s="11" t="n">
        <v>440</v>
      </c>
      <c r="C152" s="12" t="n">
        <f aca="false">B152*'Correction factors'!$B$7</f>
        <v>2129.16</v>
      </c>
      <c r="D152" s="13" t="n">
        <v>2.021446</v>
      </c>
      <c r="E152" s="14" t="n">
        <v>424</v>
      </c>
      <c r="F152" s="10" t="n">
        <f aca="false">E152/'Correction factors'!$B$10</f>
        <v>34.1956</v>
      </c>
      <c r="G152" s="11" t="n">
        <v>510</v>
      </c>
    </row>
    <row r="153" customFormat="false" ht="15" hidden="false" customHeight="false" outlineLevel="0" collapsed="false">
      <c r="A153" s="10" t="n">
        <v>32.7073218822479</v>
      </c>
      <c r="B153" s="11" t="n">
        <v>420</v>
      </c>
      <c r="C153" s="12" t="n">
        <f aca="false">B153*'Correction factors'!$B$7</f>
        <v>2032.38</v>
      </c>
      <c r="D153" s="13" t="n">
        <v>2.021446</v>
      </c>
      <c r="E153" s="14" t="n">
        <v>432</v>
      </c>
      <c r="F153" s="10" t="n">
        <f aca="false">E153/'Correction factors'!$B$10</f>
        <v>34.8408</v>
      </c>
      <c r="G153" s="11" t="n">
        <v>510</v>
      </c>
    </row>
    <row r="154" customFormat="false" ht="15" hidden="false" customHeight="false" outlineLevel="0" collapsed="false">
      <c r="A154" s="10" t="n">
        <v>33.145815372467</v>
      </c>
      <c r="B154" s="11" t="n">
        <v>420</v>
      </c>
      <c r="C154" s="12" t="n">
        <f aca="false">B154*'Correction factors'!$B$7</f>
        <v>2032.38</v>
      </c>
      <c r="D154" s="13" t="n">
        <v>2.021446</v>
      </c>
      <c r="E154" s="14" t="n">
        <v>432</v>
      </c>
      <c r="F154" s="10" t="n">
        <f aca="false">E154/'Correction factors'!$B$10</f>
        <v>34.8408</v>
      </c>
      <c r="G154" s="11" t="n">
        <v>510</v>
      </c>
    </row>
    <row r="155" customFormat="false" ht="15" hidden="false" customHeight="false" outlineLevel="0" collapsed="false">
      <c r="A155" s="10" t="n">
        <v>33.145815372467</v>
      </c>
      <c r="B155" s="11" t="n">
        <v>440</v>
      </c>
      <c r="C155" s="12" t="n">
        <f aca="false">B155*'Correction factors'!$B$7</f>
        <v>2129.16</v>
      </c>
      <c r="D155" s="13" t="n">
        <v>2.011624</v>
      </c>
      <c r="E155" s="14" t="n">
        <v>432</v>
      </c>
      <c r="F155" s="10" t="n">
        <f aca="false">E155/'Correction factors'!$B$10</f>
        <v>34.8408</v>
      </c>
      <c r="G155" s="11" t="n">
        <v>510</v>
      </c>
    </row>
    <row r="156" customFormat="false" ht="15" hidden="false" customHeight="false" outlineLevel="0" collapsed="false">
      <c r="A156" s="10" t="n">
        <v>33.145815372467</v>
      </c>
      <c r="B156" s="11" t="n">
        <v>440</v>
      </c>
      <c r="C156" s="12" t="n">
        <f aca="false">B156*'Correction factors'!$B$7</f>
        <v>2129.16</v>
      </c>
      <c r="D156" s="13" t="n">
        <v>2.011624</v>
      </c>
      <c r="E156" s="14" t="n">
        <v>424</v>
      </c>
      <c r="F156" s="10" t="n">
        <f aca="false">E156/'Correction factors'!$B$10</f>
        <v>34.1956</v>
      </c>
      <c r="G156" s="11" t="n">
        <v>510</v>
      </c>
    </row>
    <row r="157" customFormat="false" ht="15" hidden="false" customHeight="false" outlineLevel="0" collapsed="false">
      <c r="A157" s="10" t="n">
        <v>33.6404685974121</v>
      </c>
      <c r="B157" s="11" t="n">
        <v>440</v>
      </c>
      <c r="C157" s="12" t="n">
        <f aca="false">B157*'Correction factors'!$B$7</f>
        <v>2129.16</v>
      </c>
      <c r="D157" s="13" t="n">
        <v>2.011624</v>
      </c>
      <c r="E157" s="14" t="n">
        <v>416</v>
      </c>
      <c r="F157" s="10" t="n">
        <f aca="false">E157/'Correction factors'!$B$10</f>
        <v>33.5504</v>
      </c>
      <c r="G157" s="11" t="n">
        <v>510</v>
      </c>
    </row>
    <row r="158" customFormat="false" ht="15" hidden="false" customHeight="false" outlineLevel="0" collapsed="false">
      <c r="A158" s="10" t="n">
        <v>33.6404685974121</v>
      </c>
      <c r="B158" s="11" t="n">
        <v>420</v>
      </c>
      <c r="C158" s="12" t="n">
        <f aca="false">B158*'Correction factors'!$B$7</f>
        <v>2032.38</v>
      </c>
      <c r="D158" s="13" t="n">
        <v>2.011624</v>
      </c>
      <c r="E158" s="14" t="n">
        <v>424</v>
      </c>
      <c r="F158" s="10" t="n">
        <f aca="false">E158/'Correction factors'!$B$10</f>
        <v>34.1956</v>
      </c>
      <c r="G158" s="11" t="n">
        <v>510</v>
      </c>
    </row>
    <row r="159" customFormat="false" ht="15" hidden="false" customHeight="false" outlineLevel="0" collapsed="false">
      <c r="A159" s="10" t="n">
        <v>34.1458508968353</v>
      </c>
      <c r="B159" s="11" t="n">
        <v>420</v>
      </c>
      <c r="C159" s="12" t="n">
        <f aca="false">B159*'Correction factors'!$B$7</f>
        <v>2032.38</v>
      </c>
      <c r="D159" s="13" t="n">
        <v>1.991981</v>
      </c>
      <c r="E159" s="14" t="n">
        <v>424</v>
      </c>
      <c r="F159" s="10" t="n">
        <f aca="false">E159/'Correction factors'!$B$10</f>
        <v>34.1956</v>
      </c>
      <c r="G159" s="11" t="n">
        <v>510</v>
      </c>
    </row>
    <row r="160" customFormat="false" ht="15" hidden="false" customHeight="false" outlineLevel="0" collapsed="false">
      <c r="A160" s="10" t="n">
        <v>34.1458508968353</v>
      </c>
      <c r="B160" s="11" t="n">
        <v>440</v>
      </c>
      <c r="C160" s="12" t="n">
        <f aca="false">B160*'Correction factors'!$B$7</f>
        <v>2129.16</v>
      </c>
      <c r="D160" s="13" t="n">
        <v>1.991981</v>
      </c>
      <c r="E160" s="14" t="n">
        <v>424</v>
      </c>
      <c r="F160" s="10" t="n">
        <f aca="false">E160/'Correction factors'!$B$10</f>
        <v>34.1956</v>
      </c>
      <c r="G160" s="11" t="n">
        <v>510</v>
      </c>
    </row>
    <row r="161" customFormat="false" ht="15" hidden="false" customHeight="false" outlineLevel="0" collapsed="false">
      <c r="A161" s="10" t="n">
        <v>34.5904052257538</v>
      </c>
      <c r="B161" s="11" t="n">
        <v>440</v>
      </c>
      <c r="C161" s="12" t="n">
        <f aca="false">B161*'Correction factors'!$B$7</f>
        <v>2129.16</v>
      </c>
      <c r="D161" s="13" t="n">
        <v>1.991981</v>
      </c>
      <c r="E161" s="14" t="n">
        <v>424</v>
      </c>
      <c r="F161" s="10" t="n">
        <f aca="false">E161/'Correction factors'!$B$10</f>
        <v>34.1956</v>
      </c>
      <c r="G161" s="11" t="n">
        <v>510</v>
      </c>
    </row>
    <row r="162" customFormat="false" ht="15" hidden="false" customHeight="false" outlineLevel="0" collapsed="false">
      <c r="A162" s="10" t="n">
        <v>34.5904052257538</v>
      </c>
      <c r="B162" s="11" t="n">
        <v>440</v>
      </c>
      <c r="C162" s="12" t="n">
        <f aca="false">B162*'Correction factors'!$B$7</f>
        <v>2129.16</v>
      </c>
      <c r="D162" s="13" t="n">
        <v>1.991981</v>
      </c>
      <c r="E162" s="14" t="n">
        <v>416</v>
      </c>
      <c r="F162" s="10" t="n">
        <f aca="false">E162/'Correction factors'!$B$10</f>
        <v>33.5504</v>
      </c>
      <c r="G162" s="11" t="n">
        <v>510</v>
      </c>
    </row>
    <row r="163" customFormat="false" ht="15" hidden="false" customHeight="false" outlineLevel="0" collapsed="false">
      <c r="A163" s="10" t="n">
        <v>34.5904052257538</v>
      </c>
      <c r="B163" s="11" t="n">
        <v>440</v>
      </c>
      <c r="C163" s="12" t="n">
        <f aca="false">B163*'Correction factors'!$B$7</f>
        <v>2129.16</v>
      </c>
      <c r="D163" s="13" t="n">
        <v>1.98216</v>
      </c>
      <c r="E163" s="14" t="n">
        <v>424</v>
      </c>
      <c r="F163" s="10" t="n">
        <f aca="false">E163/'Correction factors'!$B$10</f>
        <v>34.1956</v>
      </c>
      <c r="G163" s="11" t="n">
        <v>510</v>
      </c>
    </row>
    <row r="164" customFormat="false" ht="15" hidden="false" customHeight="false" outlineLevel="0" collapsed="false">
      <c r="A164" s="10" t="n">
        <v>35.0841288566589</v>
      </c>
      <c r="B164" s="11" t="n">
        <v>440</v>
      </c>
      <c r="C164" s="12" t="n">
        <f aca="false">B164*'Correction factors'!$B$7</f>
        <v>2129.16</v>
      </c>
      <c r="D164" s="13" t="n">
        <v>1.98216</v>
      </c>
      <c r="E164" s="14" t="n">
        <v>416</v>
      </c>
      <c r="F164" s="10" t="n">
        <f aca="false">E164/'Correction factors'!$B$10</f>
        <v>33.5504</v>
      </c>
      <c r="G164" s="11" t="n">
        <v>510</v>
      </c>
    </row>
    <row r="165" customFormat="false" ht="15" hidden="false" customHeight="false" outlineLevel="0" collapsed="false">
      <c r="A165" s="10" t="n">
        <v>35.0841288566589</v>
      </c>
      <c r="B165" s="11" t="n">
        <v>440</v>
      </c>
      <c r="C165" s="12" t="n">
        <f aca="false">B165*'Correction factors'!$B$7</f>
        <v>2129.16</v>
      </c>
      <c r="D165" s="13" t="n">
        <v>1.98216</v>
      </c>
      <c r="E165" s="14" t="n">
        <v>416</v>
      </c>
      <c r="F165" s="10" t="n">
        <f aca="false">E165/'Correction factors'!$B$10</f>
        <v>33.5504</v>
      </c>
      <c r="G165" s="11" t="n">
        <v>510</v>
      </c>
    </row>
    <row r="166" customFormat="false" ht="15" hidden="false" customHeight="false" outlineLevel="0" collapsed="false">
      <c r="A166" s="10" t="n">
        <v>35.5536363124847</v>
      </c>
      <c r="B166" s="11" t="n">
        <v>440</v>
      </c>
      <c r="C166" s="12" t="n">
        <f aca="false">B166*'Correction factors'!$B$7</f>
        <v>2129.16</v>
      </c>
      <c r="D166" s="13" t="n">
        <v>1.972338</v>
      </c>
      <c r="E166" s="14" t="n">
        <v>416</v>
      </c>
      <c r="F166" s="10" t="n">
        <f aca="false">E166/'Correction factors'!$B$10</f>
        <v>33.5504</v>
      </c>
      <c r="G166" s="11" t="n">
        <v>510</v>
      </c>
    </row>
    <row r="167" customFormat="false" ht="15" hidden="false" customHeight="false" outlineLevel="0" collapsed="false">
      <c r="A167" s="10" t="n">
        <v>35.5536363124847</v>
      </c>
      <c r="B167" s="11" t="n">
        <v>440</v>
      </c>
      <c r="C167" s="12" t="n">
        <f aca="false">B167*'Correction factors'!$B$7</f>
        <v>2129.16</v>
      </c>
      <c r="D167" s="13" t="n">
        <v>1.972338</v>
      </c>
      <c r="E167" s="14" t="n">
        <v>416</v>
      </c>
      <c r="F167" s="10" t="n">
        <f aca="false">E167/'Correction factors'!$B$10</f>
        <v>33.5504</v>
      </c>
      <c r="G167" s="11" t="n">
        <v>510</v>
      </c>
    </row>
    <row r="168" customFormat="false" ht="15" hidden="false" customHeight="false" outlineLevel="0" collapsed="false">
      <c r="A168" s="10" t="n">
        <v>36.0111603736877</v>
      </c>
      <c r="B168" s="11" t="n">
        <v>420</v>
      </c>
      <c r="C168" s="12" t="n">
        <f aca="false">B168*'Correction factors'!$B$7</f>
        <v>2032.38</v>
      </c>
      <c r="D168" s="13" t="n">
        <v>1.962516</v>
      </c>
      <c r="E168" s="14" t="n">
        <v>416</v>
      </c>
      <c r="F168" s="10" t="n">
        <f aca="false">E168/'Correction factors'!$B$10</f>
        <v>33.5504</v>
      </c>
      <c r="G168" s="11" t="n">
        <v>510</v>
      </c>
    </row>
    <row r="169" customFormat="false" ht="15" hidden="false" customHeight="false" outlineLevel="0" collapsed="false">
      <c r="A169" s="10" t="n">
        <v>36.0111603736877</v>
      </c>
      <c r="B169" s="11" t="n">
        <v>420</v>
      </c>
      <c r="C169" s="12" t="n">
        <f aca="false">B169*'Correction factors'!$B$7</f>
        <v>2032.38</v>
      </c>
      <c r="D169" s="13" t="n">
        <v>1.952695</v>
      </c>
      <c r="E169" s="14" t="n">
        <v>416</v>
      </c>
      <c r="F169" s="10" t="n">
        <f aca="false">E169/'Correction factors'!$B$10</f>
        <v>33.5504</v>
      </c>
      <c r="G169" s="11" t="n">
        <v>510</v>
      </c>
    </row>
    <row r="170" customFormat="false" ht="15" hidden="false" customHeight="false" outlineLevel="0" collapsed="false">
      <c r="A170" s="10" t="n">
        <v>36.4902882575989</v>
      </c>
      <c r="B170" s="11" t="n">
        <v>420</v>
      </c>
      <c r="C170" s="12" t="n">
        <f aca="false">B170*'Correction factors'!$B$7</f>
        <v>2032.38</v>
      </c>
      <c r="D170" s="13" t="n">
        <v>1.962516</v>
      </c>
      <c r="E170" s="14" t="n">
        <v>416</v>
      </c>
      <c r="F170" s="10" t="n">
        <f aca="false">E170/'Correction factors'!$B$10</f>
        <v>33.5504</v>
      </c>
      <c r="G170" s="11" t="n">
        <v>510</v>
      </c>
    </row>
    <row r="171" customFormat="false" ht="15" hidden="false" customHeight="false" outlineLevel="0" collapsed="false">
      <c r="A171" s="10" t="n">
        <v>36.4902882575989</v>
      </c>
      <c r="B171" s="11" t="n">
        <v>420</v>
      </c>
      <c r="C171" s="12" t="n">
        <f aca="false">B171*'Correction factors'!$B$7</f>
        <v>2032.38</v>
      </c>
      <c r="D171" s="13" t="n">
        <v>1.952695</v>
      </c>
      <c r="E171" s="14" t="n">
        <v>408</v>
      </c>
      <c r="F171" s="10" t="n">
        <f aca="false">E171/'Correction factors'!$B$10</f>
        <v>32.9052</v>
      </c>
      <c r="G171" s="11" t="n">
        <v>510</v>
      </c>
    </row>
    <row r="172" customFormat="false" ht="15" hidden="false" customHeight="false" outlineLevel="0" collapsed="false">
      <c r="A172" s="10" t="n">
        <v>36.4902882575989</v>
      </c>
      <c r="B172" s="11" t="n">
        <v>420</v>
      </c>
      <c r="C172" s="12" t="n">
        <f aca="false">B172*'Correction factors'!$B$7</f>
        <v>2032.38</v>
      </c>
      <c r="D172" s="13" t="n">
        <v>1.952695</v>
      </c>
      <c r="E172" s="14" t="n">
        <v>416</v>
      </c>
      <c r="F172" s="10" t="n">
        <f aca="false">E172/'Correction factors'!$B$10</f>
        <v>33.5504</v>
      </c>
      <c r="G172" s="11" t="n">
        <v>510</v>
      </c>
    </row>
    <row r="173" customFormat="false" ht="15" hidden="false" customHeight="false" outlineLevel="0" collapsed="false">
      <c r="A173" s="10" t="n">
        <v>36.9941022396088</v>
      </c>
      <c r="B173" s="11" t="n">
        <v>420</v>
      </c>
      <c r="C173" s="12" t="n">
        <f aca="false">B173*'Correction factors'!$B$7</f>
        <v>2032.38</v>
      </c>
      <c r="D173" s="13" t="n">
        <v>1.942873</v>
      </c>
      <c r="E173" s="14" t="n">
        <v>408</v>
      </c>
      <c r="F173" s="10" t="n">
        <f aca="false">E173/'Correction factors'!$B$10</f>
        <v>32.9052</v>
      </c>
      <c r="G173" s="11" t="n">
        <v>510</v>
      </c>
    </row>
    <row r="174" customFormat="false" ht="15" hidden="false" customHeight="false" outlineLevel="0" collapsed="false">
      <c r="A174" s="10" t="n">
        <v>36.9941022396088</v>
      </c>
      <c r="B174" s="11" t="n">
        <v>420</v>
      </c>
      <c r="C174" s="12" t="n">
        <f aca="false">B174*'Correction factors'!$B$7</f>
        <v>2032.38</v>
      </c>
      <c r="D174" s="13" t="n">
        <v>1.952695</v>
      </c>
      <c r="E174" s="14" t="n">
        <v>416</v>
      </c>
      <c r="F174" s="10" t="n">
        <f aca="false">E174/'Correction factors'!$B$10</f>
        <v>33.5504</v>
      </c>
      <c r="G174" s="11" t="n">
        <v>510</v>
      </c>
    </row>
    <row r="175" customFormat="false" ht="15" hidden="false" customHeight="false" outlineLevel="0" collapsed="false">
      <c r="A175" s="10" t="n">
        <v>37.458899974823</v>
      </c>
      <c r="B175" s="11" t="n">
        <v>420</v>
      </c>
      <c r="C175" s="12" t="n">
        <f aca="false">B175*'Correction factors'!$B$7</f>
        <v>2032.38</v>
      </c>
      <c r="D175" s="13" t="n">
        <v>1.942873</v>
      </c>
      <c r="E175" s="14" t="n">
        <v>408</v>
      </c>
      <c r="F175" s="10" t="n">
        <f aca="false">E175/'Correction factors'!$B$10</f>
        <v>32.9052</v>
      </c>
      <c r="G175" s="11" t="n">
        <v>510</v>
      </c>
    </row>
    <row r="176" customFormat="false" ht="15" hidden="false" customHeight="false" outlineLevel="0" collapsed="false">
      <c r="A176" s="10" t="n">
        <v>37.458899974823</v>
      </c>
      <c r="B176" s="11" t="n">
        <v>400</v>
      </c>
      <c r="C176" s="12" t="n">
        <f aca="false">B176*'Correction factors'!$B$7</f>
        <v>1935.6</v>
      </c>
      <c r="D176" s="13" t="n">
        <v>1.952695</v>
      </c>
      <c r="E176" s="14" t="n">
        <v>408</v>
      </c>
      <c r="F176" s="10" t="n">
        <f aca="false">E176/'Correction factors'!$B$10</f>
        <v>32.9052</v>
      </c>
      <c r="G176" s="11" t="n">
        <v>510</v>
      </c>
    </row>
    <row r="177" customFormat="false" ht="15" hidden="false" customHeight="false" outlineLevel="0" collapsed="false">
      <c r="A177" s="10" t="n">
        <v>37.9346544742584</v>
      </c>
      <c r="B177" s="11" t="n">
        <v>400</v>
      </c>
      <c r="C177" s="12" t="n">
        <f aca="false">B177*'Correction factors'!$B$7</f>
        <v>1935.6</v>
      </c>
      <c r="D177" s="13" t="n">
        <v>1.942873</v>
      </c>
      <c r="E177" s="14" t="n">
        <v>408</v>
      </c>
      <c r="F177" s="10" t="n">
        <f aca="false">E177/'Correction factors'!$B$10</f>
        <v>32.9052</v>
      </c>
      <c r="G177" s="11" t="n">
        <v>510</v>
      </c>
    </row>
    <row r="178" customFormat="false" ht="15" hidden="false" customHeight="false" outlineLevel="0" collapsed="false">
      <c r="A178" s="10" t="n">
        <v>37.9346544742584</v>
      </c>
      <c r="B178" s="11" t="n">
        <v>400</v>
      </c>
      <c r="C178" s="12" t="n">
        <f aca="false">B178*'Correction factors'!$B$7</f>
        <v>1935.6</v>
      </c>
      <c r="D178" s="13" t="n">
        <v>1.942873</v>
      </c>
      <c r="E178" s="14" t="n">
        <v>408</v>
      </c>
      <c r="F178" s="10" t="n">
        <f aca="false">E178/'Correction factors'!$B$10</f>
        <v>32.9052</v>
      </c>
      <c r="G178" s="11" t="n">
        <v>510</v>
      </c>
    </row>
    <row r="179" customFormat="false" ht="15" hidden="false" customHeight="false" outlineLevel="0" collapsed="false">
      <c r="A179" s="10" t="n">
        <v>37.9346544742584</v>
      </c>
      <c r="B179" s="11" t="n">
        <v>400</v>
      </c>
      <c r="C179" s="12" t="n">
        <f aca="false">B179*'Correction factors'!$B$7</f>
        <v>1935.6</v>
      </c>
      <c r="D179" s="13" t="n">
        <v>1.933052</v>
      </c>
      <c r="E179" s="14" t="n">
        <v>400</v>
      </c>
      <c r="F179" s="10" t="n">
        <f aca="false">E179/'Correction factors'!$B$10</f>
        <v>32.26</v>
      </c>
      <c r="G179" s="11" t="n">
        <v>510</v>
      </c>
    </row>
    <row r="180" customFormat="false" ht="15" hidden="false" customHeight="false" outlineLevel="0" collapsed="false">
      <c r="A180" s="10" t="n">
        <v>38.4349575042725</v>
      </c>
      <c r="B180" s="11" t="n">
        <v>400</v>
      </c>
      <c r="C180" s="12" t="n">
        <f aca="false">B180*'Correction factors'!$B$7</f>
        <v>1935.6</v>
      </c>
      <c r="D180" s="13" t="n">
        <v>1.933052</v>
      </c>
      <c r="E180" s="14" t="n">
        <v>408</v>
      </c>
      <c r="F180" s="10" t="n">
        <f aca="false">E180/'Correction factors'!$B$10</f>
        <v>32.9052</v>
      </c>
      <c r="G180" s="11" t="n">
        <v>510</v>
      </c>
    </row>
    <row r="181" customFormat="false" ht="15" hidden="false" customHeight="false" outlineLevel="0" collapsed="false">
      <c r="A181" s="10" t="n">
        <v>38.4349575042725</v>
      </c>
      <c r="B181" s="11" t="n">
        <v>400</v>
      </c>
      <c r="C181" s="12" t="n">
        <f aca="false">B181*'Correction factors'!$B$7</f>
        <v>1935.6</v>
      </c>
      <c r="D181" s="13" t="n">
        <v>1.933052</v>
      </c>
      <c r="E181" s="14" t="n">
        <v>400</v>
      </c>
      <c r="F181" s="10" t="n">
        <f aca="false">E181/'Correction factors'!$B$10</f>
        <v>32.26</v>
      </c>
      <c r="G181" s="11" t="n">
        <v>510</v>
      </c>
    </row>
    <row r="182" customFormat="false" ht="15" hidden="false" customHeight="false" outlineLevel="0" collapsed="false">
      <c r="A182" s="10" t="n">
        <v>38.9396636486054</v>
      </c>
      <c r="B182" s="11" t="n">
        <v>400</v>
      </c>
      <c r="C182" s="12" t="n">
        <f aca="false">B182*'Correction factors'!$B$7</f>
        <v>1935.6</v>
      </c>
      <c r="D182" s="13" t="n">
        <v>1.92323</v>
      </c>
      <c r="E182" s="14" t="n">
        <v>400</v>
      </c>
      <c r="F182" s="10" t="n">
        <f aca="false">E182/'Correction factors'!$B$10</f>
        <v>32.26</v>
      </c>
      <c r="G182" s="11" t="n">
        <v>510</v>
      </c>
    </row>
    <row r="183" customFormat="false" ht="15" hidden="false" customHeight="false" outlineLevel="0" collapsed="false">
      <c r="A183" s="10" t="n">
        <v>38.9396636486054</v>
      </c>
      <c r="B183" s="11" t="n">
        <v>400</v>
      </c>
      <c r="C183" s="12" t="n">
        <f aca="false">B183*'Correction factors'!$B$7</f>
        <v>1935.6</v>
      </c>
      <c r="D183" s="13" t="n">
        <v>1.92323</v>
      </c>
      <c r="E183" s="14" t="n">
        <v>400</v>
      </c>
      <c r="F183" s="10" t="n">
        <f aca="false">E183/'Correction factors'!$B$10</f>
        <v>32.26</v>
      </c>
      <c r="G183" s="11" t="n">
        <v>510</v>
      </c>
    </row>
    <row r="184" customFormat="false" ht="15" hidden="false" customHeight="false" outlineLevel="0" collapsed="false">
      <c r="A184" s="10" t="n">
        <v>38.9396636486054</v>
      </c>
      <c r="B184" s="11" t="n">
        <v>400</v>
      </c>
      <c r="C184" s="12" t="n">
        <f aca="false">B184*'Correction factors'!$B$7</f>
        <v>1935.6</v>
      </c>
      <c r="D184" s="13" t="n">
        <v>1.92323</v>
      </c>
      <c r="E184" s="14" t="n">
        <v>400</v>
      </c>
      <c r="F184" s="10" t="n">
        <f aca="false">E184/'Correction factors'!$B$10</f>
        <v>32.26</v>
      </c>
      <c r="G184" s="11" t="n">
        <v>510</v>
      </c>
    </row>
    <row r="185" customFormat="false" ht="15" hidden="false" customHeight="false" outlineLevel="0" collapsed="false">
      <c r="A185" s="10" t="n">
        <v>39.4556005001068</v>
      </c>
      <c r="B185" s="11" t="n">
        <v>400</v>
      </c>
      <c r="C185" s="12" t="n">
        <f aca="false">B185*'Correction factors'!$B$7</f>
        <v>1935.6</v>
      </c>
      <c r="D185" s="13" t="n">
        <v>1.92323</v>
      </c>
      <c r="E185" s="14" t="n">
        <v>400</v>
      </c>
      <c r="F185" s="10" t="n">
        <f aca="false">E185/'Correction factors'!$B$10</f>
        <v>32.26</v>
      </c>
      <c r="G185" s="11" t="n">
        <v>510</v>
      </c>
    </row>
    <row r="186" customFormat="false" ht="15" hidden="false" customHeight="false" outlineLevel="0" collapsed="false">
      <c r="A186" s="10" t="n">
        <v>39.4556005001068</v>
      </c>
      <c r="B186" s="11" t="n">
        <v>400</v>
      </c>
      <c r="C186" s="12" t="n">
        <f aca="false">B186*'Correction factors'!$B$7</f>
        <v>1935.6</v>
      </c>
      <c r="D186" s="13" t="n">
        <v>1.92323</v>
      </c>
      <c r="E186" s="14" t="n">
        <v>392</v>
      </c>
      <c r="F186" s="10" t="n">
        <f aca="false">E186/'Correction factors'!$B$10</f>
        <v>31.6148</v>
      </c>
      <c r="G186" s="11" t="n">
        <v>510</v>
      </c>
    </row>
    <row r="187" customFormat="false" ht="15" hidden="false" customHeight="false" outlineLevel="0" collapsed="false">
      <c r="A187" s="10" t="n">
        <v>39.9176819324493</v>
      </c>
      <c r="B187" s="11" t="n">
        <v>400</v>
      </c>
      <c r="C187" s="12" t="n">
        <f aca="false">B187*'Correction factors'!$B$7</f>
        <v>1935.6</v>
      </c>
      <c r="D187" s="13" t="n">
        <v>1.913408</v>
      </c>
      <c r="E187" s="14" t="n">
        <v>400</v>
      </c>
      <c r="F187" s="10" t="n">
        <f aca="false">E187/'Correction factors'!$B$10</f>
        <v>32.26</v>
      </c>
      <c r="G187" s="11" t="n">
        <v>510</v>
      </c>
    </row>
    <row r="188" customFormat="false" ht="15" hidden="false" customHeight="false" outlineLevel="0" collapsed="false">
      <c r="A188" s="10" t="n">
        <v>39.9176819324493</v>
      </c>
      <c r="B188" s="11" t="n">
        <v>400</v>
      </c>
      <c r="C188" s="12" t="n">
        <f aca="false">B188*'Correction factors'!$B$7</f>
        <v>1935.6</v>
      </c>
      <c r="D188" s="13" t="n">
        <v>1.913408</v>
      </c>
      <c r="E188" s="14" t="n">
        <v>392</v>
      </c>
      <c r="F188" s="10" t="n">
        <f aca="false">E188/'Correction factors'!$B$10</f>
        <v>31.6148</v>
      </c>
      <c r="G188" s="11" t="n">
        <v>510</v>
      </c>
    </row>
    <row r="189" customFormat="false" ht="15" hidden="false" customHeight="false" outlineLevel="0" collapsed="false">
      <c r="A189" s="10" t="n">
        <v>40.3847806453705</v>
      </c>
      <c r="B189" s="11" t="n">
        <v>400</v>
      </c>
      <c r="C189" s="12" t="n">
        <f aca="false">B189*'Correction factors'!$B$7</f>
        <v>1935.6</v>
      </c>
      <c r="D189" s="13" t="n">
        <v>1.903587</v>
      </c>
      <c r="E189" s="14" t="n">
        <v>400</v>
      </c>
      <c r="F189" s="10" t="n">
        <f aca="false">E189/'Correction factors'!$B$10</f>
        <v>32.26</v>
      </c>
      <c r="G189" s="11" t="n">
        <v>510</v>
      </c>
    </row>
    <row r="190" customFormat="false" ht="15" hidden="false" customHeight="false" outlineLevel="0" collapsed="false">
      <c r="A190" s="10" t="n">
        <v>40.3847806453705</v>
      </c>
      <c r="B190" s="11" t="n">
        <v>400</v>
      </c>
      <c r="C190" s="12" t="n">
        <f aca="false">B190*'Correction factors'!$B$7</f>
        <v>1935.6</v>
      </c>
      <c r="D190" s="13" t="n">
        <v>1.903587</v>
      </c>
      <c r="E190" s="14" t="n">
        <v>392</v>
      </c>
      <c r="F190" s="10" t="n">
        <f aca="false">E190/'Correction factors'!$B$10</f>
        <v>31.6148</v>
      </c>
      <c r="G190" s="11" t="n">
        <v>510</v>
      </c>
    </row>
    <row r="191" customFormat="false" ht="15" hidden="false" customHeight="false" outlineLevel="0" collapsed="false">
      <c r="A191" s="10" t="n">
        <v>40.3847806453705</v>
      </c>
      <c r="B191" s="11" t="n">
        <v>400</v>
      </c>
      <c r="C191" s="12" t="n">
        <f aca="false">B191*'Correction factors'!$B$7</f>
        <v>1935.6</v>
      </c>
      <c r="D191" s="13" t="n">
        <v>1.903587</v>
      </c>
      <c r="E191" s="14" t="n">
        <v>392</v>
      </c>
      <c r="F191" s="10" t="n">
        <f aca="false">E191/'Correction factors'!$B$10</f>
        <v>31.6148</v>
      </c>
      <c r="G191" s="11" t="n">
        <v>510</v>
      </c>
    </row>
    <row r="192" customFormat="false" ht="15" hidden="false" customHeight="false" outlineLevel="0" collapsed="false">
      <c r="A192" s="10" t="n">
        <v>40.9036090373993</v>
      </c>
      <c r="B192" s="11" t="n">
        <v>380</v>
      </c>
      <c r="C192" s="12" t="n">
        <f aca="false">B192*'Correction factors'!$B$7</f>
        <v>1838.82</v>
      </c>
      <c r="D192" s="13" t="n">
        <v>1.893765</v>
      </c>
      <c r="E192" s="14" t="n">
        <v>392</v>
      </c>
      <c r="F192" s="10" t="n">
        <f aca="false">E192/'Correction factors'!$B$10</f>
        <v>31.6148</v>
      </c>
      <c r="G192" s="11" t="n">
        <v>510</v>
      </c>
    </row>
    <row r="193" customFormat="false" ht="15" hidden="false" customHeight="false" outlineLevel="0" collapsed="false">
      <c r="A193" s="10" t="n">
        <v>40.9036090373993</v>
      </c>
      <c r="B193" s="11" t="n">
        <v>380</v>
      </c>
      <c r="C193" s="12" t="n">
        <f aca="false">B193*'Correction factors'!$B$7</f>
        <v>1838.82</v>
      </c>
      <c r="D193" s="13" t="n">
        <v>1.893765</v>
      </c>
      <c r="E193" s="14" t="n">
        <v>392</v>
      </c>
      <c r="F193" s="10" t="n">
        <f aca="false">E193/'Correction factors'!$B$10</f>
        <v>31.6148</v>
      </c>
      <c r="G193" s="11" t="n">
        <v>510</v>
      </c>
    </row>
    <row r="194" customFormat="false" ht="15" hidden="false" customHeight="false" outlineLevel="0" collapsed="false">
      <c r="A194" s="10" t="n">
        <v>41.3666107654572</v>
      </c>
      <c r="B194" s="11" t="n">
        <v>380</v>
      </c>
      <c r="C194" s="12" t="n">
        <f aca="false">B194*'Correction factors'!$B$7</f>
        <v>1838.82</v>
      </c>
      <c r="D194" s="13" t="n">
        <v>1.893765</v>
      </c>
      <c r="E194" s="14" t="n">
        <v>392</v>
      </c>
      <c r="F194" s="10" t="n">
        <f aca="false">E194/'Correction factors'!$B$10</f>
        <v>31.6148</v>
      </c>
      <c r="G194" s="11" t="n">
        <v>510</v>
      </c>
    </row>
    <row r="195" customFormat="false" ht="15" hidden="false" customHeight="false" outlineLevel="0" collapsed="false">
      <c r="A195" s="10" t="n">
        <v>41.3666107654572</v>
      </c>
      <c r="B195" s="11" t="n">
        <v>380</v>
      </c>
      <c r="C195" s="12" t="n">
        <f aca="false">B195*'Correction factors'!$B$7</f>
        <v>1838.82</v>
      </c>
      <c r="D195" s="13" t="n">
        <v>1.893765</v>
      </c>
      <c r="E195" s="14" t="n">
        <v>392</v>
      </c>
      <c r="F195" s="10" t="n">
        <f aca="false">E195/'Correction factors'!$B$10</f>
        <v>31.6148</v>
      </c>
      <c r="G195" s="11" t="n">
        <v>510</v>
      </c>
    </row>
    <row r="196" customFormat="false" ht="15" hidden="false" customHeight="false" outlineLevel="0" collapsed="false">
      <c r="A196" s="10" t="n">
        <v>41.8421123027802</v>
      </c>
      <c r="B196" s="11" t="n">
        <v>380</v>
      </c>
      <c r="C196" s="12" t="n">
        <f aca="false">B196*'Correction factors'!$B$7</f>
        <v>1838.82</v>
      </c>
      <c r="D196" s="13" t="n">
        <v>1.893765</v>
      </c>
      <c r="E196" s="14" t="n">
        <v>392</v>
      </c>
      <c r="F196" s="10" t="n">
        <f aca="false">E196/'Correction factors'!$B$10</f>
        <v>31.6148</v>
      </c>
      <c r="G196" s="11" t="n">
        <v>510</v>
      </c>
    </row>
    <row r="197" customFormat="false" ht="15" hidden="false" customHeight="false" outlineLevel="0" collapsed="false">
      <c r="A197" s="10" t="n">
        <v>41.8421123027802</v>
      </c>
      <c r="B197" s="11" t="n">
        <v>380</v>
      </c>
      <c r="C197" s="12" t="n">
        <f aca="false">B197*'Correction factors'!$B$7</f>
        <v>1838.82</v>
      </c>
      <c r="D197" s="13" t="n">
        <v>1.874122</v>
      </c>
      <c r="E197" s="14" t="n">
        <v>384</v>
      </c>
      <c r="F197" s="10" t="n">
        <f aca="false">E197/'Correction factors'!$B$10</f>
        <v>30.9696</v>
      </c>
      <c r="G197" s="11" t="n">
        <v>510</v>
      </c>
    </row>
    <row r="198" customFormat="false" ht="15" hidden="false" customHeight="false" outlineLevel="0" collapsed="false">
      <c r="A198" s="10" t="n">
        <v>41.8421123027802</v>
      </c>
      <c r="B198" s="11" t="n">
        <v>380</v>
      </c>
      <c r="C198" s="12" t="n">
        <f aca="false">B198*'Correction factors'!$B$7</f>
        <v>1838.82</v>
      </c>
      <c r="D198" s="13" t="n">
        <v>1.874122</v>
      </c>
      <c r="E198" s="14" t="n">
        <v>392</v>
      </c>
      <c r="F198" s="10" t="n">
        <f aca="false">E198/'Correction factors'!$B$10</f>
        <v>31.6148</v>
      </c>
      <c r="G198" s="11" t="n">
        <v>510</v>
      </c>
    </row>
    <row r="199" customFormat="false" ht="15" hidden="false" customHeight="false" outlineLevel="0" collapsed="false">
      <c r="A199" s="10" t="n">
        <v>42.3600831031799</v>
      </c>
      <c r="B199" s="11" t="n">
        <v>380</v>
      </c>
      <c r="C199" s="12" t="n">
        <f aca="false">B199*'Correction factors'!$B$7</f>
        <v>1838.82</v>
      </c>
      <c r="D199" s="13" t="n">
        <v>1.883944</v>
      </c>
      <c r="E199" s="14" t="n">
        <v>384</v>
      </c>
      <c r="F199" s="10" t="n">
        <f aca="false">E199/'Correction factors'!$B$10</f>
        <v>30.9696</v>
      </c>
      <c r="G199" s="11" t="n">
        <v>510</v>
      </c>
    </row>
    <row r="200" customFormat="false" ht="15" hidden="false" customHeight="false" outlineLevel="0" collapsed="false">
      <c r="A200" s="10" t="n">
        <v>42.3600831031799</v>
      </c>
      <c r="B200" s="11" t="n">
        <v>360</v>
      </c>
      <c r="C200" s="12" t="n">
        <f aca="false">B200*'Correction factors'!$B$7</f>
        <v>1742.04</v>
      </c>
      <c r="D200" s="13" t="n">
        <v>1.874122</v>
      </c>
      <c r="E200" s="14" t="n">
        <v>392</v>
      </c>
      <c r="F200" s="10" t="n">
        <f aca="false">E200/'Correction factors'!$B$10</f>
        <v>31.6148</v>
      </c>
      <c r="G200" s="11" t="n">
        <v>510</v>
      </c>
    </row>
    <row r="201" customFormat="false" ht="15" hidden="false" customHeight="false" outlineLevel="0" collapsed="false">
      <c r="A201" s="10" t="n">
        <v>42.8170719146729</v>
      </c>
      <c r="B201" s="11" t="n">
        <v>360</v>
      </c>
      <c r="C201" s="12" t="n">
        <f aca="false">B201*'Correction factors'!$B$7</f>
        <v>1742.04</v>
      </c>
      <c r="D201" s="13" t="n">
        <v>1.874122</v>
      </c>
      <c r="E201" s="14" t="n">
        <v>392</v>
      </c>
      <c r="F201" s="10" t="n">
        <f aca="false">E201/'Correction factors'!$B$10</f>
        <v>31.6148</v>
      </c>
      <c r="G201" s="11" t="n">
        <v>510</v>
      </c>
    </row>
    <row r="202" customFormat="false" ht="15" hidden="false" customHeight="false" outlineLevel="0" collapsed="false">
      <c r="A202" s="10" t="n">
        <v>42.8170719146729</v>
      </c>
      <c r="B202" s="11" t="n">
        <v>360</v>
      </c>
      <c r="C202" s="12" t="n">
        <f aca="false">B202*'Correction factors'!$B$7</f>
        <v>1742.04</v>
      </c>
      <c r="D202" s="13" t="n">
        <v>1.8643</v>
      </c>
      <c r="E202" s="14" t="n">
        <v>384</v>
      </c>
      <c r="F202" s="10" t="n">
        <f aca="false">E202/'Correction factors'!$B$10</f>
        <v>30.9696</v>
      </c>
      <c r="G202" s="11" t="n">
        <v>510</v>
      </c>
    </row>
    <row r="203" customFormat="false" ht="15" hidden="false" customHeight="false" outlineLevel="0" collapsed="false">
      <c r="A203" s="10" t="n">
        <v>43.3117232322693</v>
      </c>
      <c r="B203" s="11" t="n">
        <v>360</v>
      </c>
      <c r="C203" s="12" t="n">
        <f aca="false">B203*'Correction factors'!$B$7</f>
        <v>1742.04</v>
      </c>
      <c r="D203" s="13" t="n">
        <v>1.8643</v>
      </c>
      <c r="E203" s="14" t="n">
        <v>384</v>
      </c>
      <c r="F203" s="10" t="n">
        <f aca="false">E203/'Correction factors'!$B$10</f>
        <v>30.9696</v>
      </c>
      <c r="G203" s="11" t="n">
        <v>510</v>
      </c>
    </row>
    <row r="204" customFormat="false" ht="15" hidden="false" customHeight="false" outlineLevel="0" collapsed="false">
      <c r="A204" s="10" t="n">
        <v>43.3117232322693</v>
      </c>
      <c r="B204" s="11" t="n">
        <v>360</v>
      </c>
      <c r="C204" s="12" t="n">
        <f aca="false">B204*'Correction factors'!$B$7</f>
        <v>1742.04</v>
      </c>
      <c r="D204" s="13" t="n">
        <v>1.8643</v>
      </c>
      <c r="E204" s="14" t="n">
        <v>384</v>
      </c>
      <c r="F204" s="10" t="n">
        <f aca="false">E204/'Correction factors'!$B$10</f>
        <v>30.9696</v>
      </c>
      <c r="G204" s="11" t="n">
        <v>510</v>
      </c>
    </row>
    <row r="205" customFormat="false" ht="15" hidden="false" customHeight="false" outlineLevel="0" collapsed="false">
      <c r="A205" s="10" t="n">
        <v>43.3117232322693</v>
      </c>
      <c r="B205" s="11" t="n">
        <v>360</v>
      </c>
      <c r="C205" s="12" t="n">
        <f aca="false">B205*'Correction factors'!$B$7</f>
        <v>1742.04</v>
      </c>
      <c r="D205" s="13" t="n">
        <v>1.8643</v>
      </c>
      <c r="E205" s="14" t="n">
        <v>384</v>
      </c>
      <c r="F205" s="10" t="n">
        <f aca="false">E205/'Correction factors'!$B$10</f>
        <v>30.9696</v>
      </c>
      <c r="G205" s="11" t="n">
        <v>510</v>
      </c>
    </row>
    <row r="206" customFormat="false" ht="15" hidden="false" customHeight="false" outlineLevel="0" collapsed="false">
      <c r="A206" s="10" t="n">
        <v>43.8171710968018</v>
      </c>
      <c r="B206" s="11" t="n">
        <v>360</v>
      </c>
      <c r="C206" s="12" t="n">
        <f aca="false">B206*'Correction factors'!$B$7</f>
        <v>1742.04</v>
      </c>
      <c r="D206" s="13" t="n">
        <v>1.8643</v>
      </c>
      <c r="E206" s="14" t="n">
        <v>384</v>
      </c>
      <c r="F206" s="10" t="n">
        <f aca="false">E206/'Correction factors'!$B$10</f>
        <v>30.9696</v>
      </c>
      <c r="G206" s="11" t="n">
        <v>510</v>
      </c>
    </row>
    <row r="207" customFormat="false" ht="15" hidden="false" customHeight="false" outlineLevel="0" collapsed="false">
      <c r="A207" s="10" t="n">
        <v>43.8171710968018</v>
      </c>
      <c r="B207" s="11" t="n">
        <v>380</v>
      </c>
      <c r="C207" s="12" t="n">
        <f aca="false">B207*'Correction factors'!$B$7</f>
        <v>1838.82</v>
      </c>
      <c r="D207" s="13" t="n">
        <v>1.854479</v>
      </c>
      <c r="E207" s="14" t="n">
        <v>376</v>
      </c>
      <c r="F207" s="10" t="n">
        <f aca="false">E207/'Correction factors'!$B$10</f>
        <v>30.3244</v>
      </c>
      <c r="G207" s="11" t="n">
        <v>510</v>
      </c>
    </row>
    <row r="208" customFormat="false" ht="15" hidden="false" customHeight="false" outlineLevel="0" collapsed="false">
      <c r="A208" s="10" t="n">
        <v>44.2764883041382</v>
      </c>
      <c r="B208" s="11" t="n">
        <v>360</v>
      </c>
      <c r="C208" s="12" t="n">
        <f aca="false">B208*'Correction factors'!$B$7</f>
        <v>1742.04</v>
      </c>
      <c r="D208" s="13" t="n">
        <v>1.854479</v>
      </c>
      <c r="E208" s="14" t="n">
        <v>384</v>
      </c>
      <c r="F208" s="10" t="n">
        <f aca="false">E208/'Correction factors'!$B$10</f>
        <v>30.9696</v>
      </c>
      <c r="G208" s="11" t="n">
        <v>511</v>
      </c>
    </row>
    <row r="209" customFormat="false" ht="15" hidden="false" customHeight="false" outlineLevel="0" collapsed="false">
      <c r="A209" s="10" t="n">
        <v>44.2764883041382</v>
      </c>
      <c r="B209" s="11" t="n">
        <v>380</v>
      </c>
      <c r="C209" s="12" t="n">
        <f aca="false">B209*'Correction factors'!$B$7</f>
        <v>1838.82</v>
      </c>
      <c r="D209" s="13" t="n">
        <v>1.844657</v>
      </c>
      <c r="E209" s="14" t="n">
        <v>384</v>
      </c>
      <c r="F209" s="10" t="n">
        <f aca="false">E209/'Correction factors'!$B$10</f>
        <v>30.9696</v>
      </c>
      <c r="G209" s="11" t="n">
        <v>510</v>
      </c>
    </row>
    <row r="210" customFormat="false" ht="15" hidden="false" customHeight="false" outlineLevel="0" collapsed="false">
      <c r="A210" s="10" t="n">
        <v>44.7240636348724</v>
      </c>
      <c r="B210" s="11" t="n">
        <v>380</v>
      </c>
      <c r="C210" s="12" t="n">
        <f aca="false">B210*'Correction factors'!$B$7</f>
        <v>1838.82</v>
      </c>
      <c r="D210" s="13" t="n">
        <v>1.854479</v>
      </c>
      <c r="E210" s="14" t="n">
        <v>376</v>
      </c>
      <c r="F210" s="10" t="n">
        <f aca="false">E210/'Correction factors'!$B$10</f>
        <v>30.3244</v>
      </c>
      <c r="G210" s="11" t="n">
        <v>510</v>
      </c>
    </row>
    <row r="211" customFormat="false" ht="15" hidden="false" customHeight="false" outlineLevel="0" collapsed="false">
      <c r="A211" s="10" t="n">
        <v>44.7240636348724</v>
      </c>
      <c r="B211" s="11" t="n">
        <v>360</v>
      </c>
      <c r="C211" s="12" t="n">
        <f aca="false">B211*'Correction factors'!$B$7</f>
        <v>1742.04</v>
      </c>
      <c r="D211" s="13" t="n">
        <v>1.844657</v>
      </c>
      <c r="E211" s="14" t="n">
        <v>384</v>
      </c>
      <c r="F211" s="10" t="n">
        <f aca="false">E211/'Correction factors'!$B$10</f>
        <v>30.9696</v>
      </c>
      <c r="G211" s="11" t="n">
        <v>510</v>
      </c>
    </row>
    <row r="212" customFormat="false" ht="15" hidden="false" customHeight="false" outlineLevel="0" collapsed="false">
      <c r="A212" s="10" t="n">
        <v>45.1651122570038</v>
      </c>
      <c r="B212" s="11" t="n">
        <v>380</v>
      </c>
      <c r="C212" s="12" t="n">
        <f aca="false">B212*'Correction factors'!$B$7</f>
        <v>1838.82</v>
      </c>
      <c r="D212" s="13" t="n">
        <v>1.834836</v>
      </c>
      <c r="E212" s="14" t="n">
        <v>376</v>
      </c>
      <c r="F212" s="10" t="n">
        <f aca="false">E212/'Correction factors'!$B$10</f>
        <v>30.3244</v>
      </c>
      <c r="G212" s="11" t="n">
        <v>510</v>
      </c>
    </row>
    <row r="213" customFormat="false" ht="15" hidden="false" customHeight="false" outlineLevel="0" collapsed="false">
      <c r="A213" s="10" t="n">
        <v>45.1651122570038</v>
      </c>
      <c r="B213" s="11" t="n">
        <v>380</v>
      </c>
      <c r="C213" s="12" t="n">
        <f aca="false">B213*'Correction factors'!$B$7</f>
        <v>1838.82</v>
      </c>
      <c r="D213" s="13" t="n">
        <v>1.844657</v>
      </c>
      <c r="E213" s="14" t="n">
        <v>384</v>
      </c>
      <c r="F213" s="10" t="n">
        <f aca="false">E213/'Correction factors'!$B$10</f>
        <v>30.9696</v>
      </c>
      <c r="G213" s="11" t="n">
        <v>510</v>
      </c>
    </row>
    <row r="214" customFormat="false" ht="15" hidden="false" customHeight="false" outlineLevel="0" collapsed="false">
      <c r="A214" s="10" t="n">
        <v>45.1651122570038</v>
      </c>
      <c r="B214" s="11" t="n">
        <v>360</v>
      </c>
      <c r="C214" s="12" t="n">
        <f aca="false">B214*'Correction factors'!$B$7</f>
        <v>1742.04</v>
      </c>
      <c r="D214" s="13" t="n">
        <v>1.844657</v>
      </c>
      <c r="E214" s="14" t="n">
        <v>376</v>
      </c>
      <c r="F214" s="10" t="n">
        <f aca="false">E214/'Correction factors'!$B$10</f>
        <v>30.3244</v>
      </c>
      <c r="G214" s="11" t="n">
        <v>510</v>
      </c>
    </row>
    <row r="215" customFormat="false" ht="15" hidden="false" customHeight="false" outlineLevel="0" collapsed="false">
      <c r="A215" s="10" t="n">
        <v>45.6380302906036</v>
      </c>
      <c r="B215" s="11" t="n">
        <v>380</v>
      </c>
      <c r="C215" s="12" t="n">
        <f aca="false">B215*'Correction factors'!$B$7</f>
        <v>1838.82</v>
      </c>
      <c r="D215" s="13" t="n">
        <v>1.834836</v>
      </c>
      <c r="E215" s="14" t="n">
        <v>376</v>
      </c>
      <c r="F215" s="10" t="n">
        <f aca="false">E215/'Correction factors'!$B$10</f>
        <v>30.3244</v>
      </c>
      <c r="G215" s="11" t="n">
        <v>510</v>
      </c>
    </row>
    <row r="216" customFormat="false" ht="15" hidden="false" customHeight="false" outlineLevel="0" collapsed="false">
      <c r="A216" s="10" t="n">
        <v>45.6380302906036</v>
      </c>
      <c r="B216" s="11" t="n">
        <v>380</v>
      </c>
      <c r="C216" s="12" t="n">
        <f aca="false">B216*'Correction factors'!$B$7</f>
        <v>1838.82</v>
      </c>
      <c r="D216" s="13" t="n">
        <v>1.834836</v>
      </c>
      <c r="E216" s="14" t="n">
        <v>376</v>
      </c>
      <c r="F216" s="10" t="n">
        <f aca="false">E216/'Correction factors'!$B$10</f>
        <v>30.3244</v>
      </c>
      <c r="G216" s="11" t="n">
        <v>510</v>
      </c>
    </row>
    <row r="217" customFormat="false" ht="15" hidden="false" customHeight="false" outlineLevel="0" collapsed="false">
      <c r="A217" s="10" t="n">
        <v>46.0764887332916</v>
      </c>
      <c r="B217" s="11" t="n">
        <v>360</v>
      </c>
      <c r="C217" s="12" t="n">
        <f aca="false">B217*'Correction factors'!$B$7</f>
        <v>1742.04</v>
      </c>
      <c r="D217" s="13" t="n">
        <v>1.825014</v>
      </c>
      <c r="E217" s="14" t="n">
        <v>376</v>
      </c>
      <c r="F217" s="10" t="n">
        <f aca="false">E217/'Correction factors'!$B$10</f>
        <v>30.3244</v>
      </c>
      <c r="G217" s="11" t="n">
        <v>510</v>
      </c>
    </row>
    <row r="218" customFormat="false" ht="15" hidden="false" customHeight="false" outlineLevel="0" collapsed="false">
      <c r="A218" s="10" t="n">
        <v>46.0764887332916</v>
      </c>
      <c r="B218" s="11" t="n">
        <v>360</v>
      </c>
      <c r="C218" s="12" t="n">
        <f aca="false">B218*'Correction factors'!$B$7</f>
        <v>1742.04</v>
      </c>
      <c r="D218" s="13" t="n">
        <v>1.825014</v>
      </c>
      <c r="E218" s="14" t="n">
        <v>376</v>
      </c>
      <c r="F218" s="10" t="n">
        <f aca="false">E218/'Correction factors'!$B$10</f>
        <v>30.3244</v>
      </c>
      <c r="G218" s="11" t="n">
        <v>510</v>
      </c>
    </row>
    <row r="219" customFormat="false" ht="15" hidden="false" customHeight="false" outlineLevel="0" collapsed="false">
      <c r="A219" s="10" t="n">
        <v>46.5132298469544</v>
      </c>
      <c r="B219" s="11" t="n">
        <v>360</v>
      </c>
      <c r="C219" s="12" t="n">
        <f aca="false">B219*'Correction factors'!$B$7</f>
        <v>1742.04</v>
      </c>
      <c r="D219" s="13" t="n">
        <v>1.825014</v>
      </c>
      <c r="E219" s="14" t="n">
        <v>368</v>
      </c>
      <c r="F219" s="10" t="n">
        <f aca="false">E219/'Correction factors'!$B$10</f>
        <v>29.6792</v>
      </c>
      <c r="G219" s="11" t="n">
        <v>510</v>
      </c>
    </row>
    <row r="220" customFormat="false" ht="15" hidden="false" customHeight="false" outlineLevel="0" collapsed="false">
      <c r="A220" s="10" t="n">
        <v>46.5132298469544</v>
      </c>
      <c r="B220" s="11" t="n">
        <v>340</v>
      </c>
      <c r="C220" s="12" t="n">
        <f aca="false">B220*'Correction factors'!$B$7</f>
        <v>1645.26</v>
      </c>
      <c r="D220" s="13" t="n">
        <v>1.815192</v>
      </c>
      <c r="E220" s="14" t="n">
        <v>376</v>
      </c>
      <c r="F220" s="10" t="n">
        <f aca="false">E220/'Correction factors'!$B$10</f>
        <v>30.3244</v>
      </c>
      <c r="G220" s="11" t="n">
        <v>511</v>
      </c>
    </row>
    <row r="221" customFormat="false" ht="15" hidden="false" customHeight="false" outlineLevel="0" collapsed="false">
      <c r="A221" s="10" t="n">
        <v>46.9410195350647</v>
      </c>
      <c r="B221" s="11" t="n">
        <v>360</v>
      </c>
      <c r="C221" s="12" t="n">
        <f aca="false">B221*'Correction factors'!$B$7</f>
        <v>1742.04</v>
      </c>
      <c r="D221" s="13" t="n">
        <v>1.815192</v>
      </c>
      <c r="E221" s="14" t="n">
        <v>368</v>
      </c>
      <c r="F221" s="10" t="n">
        <f aca="false">E221/'Correction factors'!$B$10</f>
        <v>29.6792</v>
      </c>
      <c r="G221" s="11" t="n">
        <v>510</v>
      </c>
    </row>
    <row r="222" customFormat="false" ht="15" hidden="false" customHeight="false" outlineLevel="0" collapsed="false">
      <c r="A222" s="10" t="n">
        <v>46.9410195350647</v>
      </c>
      <c r="B222" s="11" t="n">
        <v>360</v>
      </c>
      <c r="C222" s="12" t="n">
        <f aca="false">B222*'Correction factors'!$B$7</f>
        <v>1742.04</v>
      </c>
      <c r="D222" s="13" t="n">
        <v>1.815192</v>
      </c>
      <c r="E222" s="14" t="n">
        <v>376</v>
      </c>
      <c r="F222" s="10" t="n">
        <f aca="false">E222/'Correction factors'!$B$10</f>
        <v>30.3244</v>
      </c>
      <c r="G222" s="11" t="n">
        <v>510</v>
      </c>
    </row>
    <row r="223" customFormat="false" ht="15" hidden="false" customHeight="false" outlineLevel="0" collapsed="false">
      <c r="A223" s="10" t="n">
        <v>47.3690218925476</v>
      </c>
      <c r="B223" s="11" t="n">
        <v>340</v>
      </c>
      <c r="C223" s="12" t="n">
        <f aca="false">B223*'Correction factors'!$B$7</f>
        <v>1645.26</v>
      </c>
      <c r="D223" s="13" t="n">
        <v>1.815192</v>
      </c>
      <c r="E223" s="14" t="n">
        <v>368</v>
      </c>
      <c r="F223" s="10" t="n">
        <f aca="false">E223/'Correction factors'!$B$10</f>
        <v>29.6792</v>
      </c>
      <c r="G223" s="11" t="n">
        <v>510</v>
      </c>
    </row>
    <row r="224" customFormat="false" ht="15" hidden="false" customHeight="false" outlineLevel="0" collapsed="false">
      <c r="A224" s="10" t="n">
        <v>47.3690218925476</v>
      </c>
      <c r="B224" s="11" t="n">
        <v>360</v>
      </c>
      <c r="C224" s="12" t="n">
        <f aca="false">B224*'Correction factors'!$B$7</f>
        <v>1742.04</v>
      </c>
      <c r="D224" s="13" t="n">
        <v>1.805371</v>
      </c>
      <c r="E224" s="14" t="n">
        <v>368</v>
      </c>
      <c r="F224" s="10" t="n">
        <f aca="false">E224/'Correction factors'!$B$10</f>
        <v>29.6792</v>
      </c>
      <c r="G224" s="11" t="n">
        <v>510</v>
      </c>
    </row>
    <row r="225" customFormat="false" ht="15" hidden="false" customHeight="false" outlineLevel="0" collapsed="false">
      <c r="A225" s="10" t="n">
        <v>47.8342347145081</v>
      </c>
      <c r="B225" s="11" t="n">
        <v>360</v>
      </c>
      <c r="C225" s="12" t="n">
        <f aca="false">B225*'Correction factors'!$B$7</f>
        <v>1742.04</v>
      </c>
      <c r="D225" s="13" t="n">
        <v>1.795549</v>
      </c>
      <c r="E225" s="14" t="n">
        <v>368</v>
      </c>
      <c r="F225" s="10" t="n">
        <f aca="false">E225/'Correction factors'!$B$10</f>
        <v>29.6792</v>
      </c>
      <c r="G225" s="11" t="n">
        <v>510</v>
      </c>
    </row>
    <row r="226" customFormat="false" ht="15" hidden="false" customHeight="false" outlineLevel="0" collapsed="false">
      <c r="A226" s="10" t="n">
        <v>47.8342347145081</v>
      </c>
      <c r="B226" s="11" t="n">
        <v>360</v>
      </c>
      <c r="C226" s="12" t="n">
        <f aca="false">B226*'Correction factors'!$B$7</f>
        <v>1742.04</v>
      </c>
      <c r="D226" s="13" t="n">
        <v>1.805371</v>
      </c>
      <c r="E226" s="14" t="n">
        <v>360</v>
      </c>
      <c r="F226" s="10" t="n">
        <f aca="false">E226/'Correction factors'!$B$10</f>
        <v>29.034</v>
      </c>
      <c r="G226" s="11" t="n">
        <v>510</v>
      </c>
    </row>
    <row r="227" customFormat="false" ht="15" hidden="false" customHeight="false" outlineLevel="0" collapsed="false">
      <c r="A227" s="10" t="n">
        <v>48.2690017223358</v>
      </c>
      <c r="B227" s="11" t="n">
        <v>360</v>
      </c>
      <c r="C227" s="12" t="n">
        <f aca="false">B227*'Correction factors'!$B$7</f>
        <v>1742.04</v>
      </c>
      <c r="D227" s="13" t="n">
        <v>1.795549</v>
      </c>
      <c r="E227" s="14" t="n">
        <v>368</v>
      </c>
      <c r="F227" s="10" t="n">
        <f aca="false">E227/'Correction factors'!$B$10</f>
        <v>29.6792</v>
      </c>
      <c r="G227" s="11" t="n">
        <v>510</v>
      </c>
    </row>
    <row r="228" customFormat="false" ht="15" hidden="false" customHeight="false" outlineLevel="0" collapsed="false">
      <c r="A228" s="10" t="n">
        <v>48.2690017223358</v>
      </c>
      <c r="B228" s="11" t="n">
        <v>360</v>
      </c>
      <c r="C228" s="12" t="n">
        <f aca="false">B228*'Correction factors'!$B$7</f>
        <v>1742.04</v>
      </c>
      <c r="D228" s="13" t="n">
        <v>1.795549</v>
      </c>
      <c r="E228" s="14" t="n">
        <v>368</v>
      </c>
      <c r="F228" s="10" t="n">
        <f aca="false">E228/'Correction factors'!$B$10</f>
        <v>29.6792</v>
      </c>
      <c r="G228" s="11" t="n">
        <v>510</v>
      </c>
    </row>
    <row r="229" customFormat="false" ht="15" hidden="false" customHeight="false" outlineLevel="0" collapsed="false">
      <c r="A229" s="10" t="n">
        <v>48.2690017223358</v>
      </c>
      <c r="B229" s="11" t="n">
        <v>340</v>
      </c>
      <c r="C229" s="12" t="n">
        <f aca="false">B229*'Correction factors'!$B$7</f>
        <v>1645.26</v>
      </c>
      <c r="D229" s="13" t="n">
        <v>1.785728</v>
      </c>
      <c r="E229" s="14" t="n">
        <v>360</v>
      </c>
      <c r="F229" s="10" t="n">
        <f aca="false">E229/'Correction factors'!$B$10</f>
        <v>29.034</v>
      </c>
      <c r="G229" s="11" t="n">
        <v>510</v>
      </c>
    </row>
    <row r="230" customFormat="false" ht="15" hidden="false" customHeight="false" outlineLevel="0" collapsed="false">
      <c r="A230" s="10" t="n">
        <v>48.75488114357</v>
      </c>
      <c r="B230" s="11" t="n">
        <v>340</v>
      </c>
      <c r="C230" s="12" t="n">
        <f aca="false">B230*'Correction factors'!$B$7</f>
        <v>1645.26</v>
      </c>
      <c r="D230" s="13" t="n">
        <v>1.785728</v>
      </c>
      <c r="E230" s="14" t="n">
        <v>368</v>
      </c>
      <c r="F230" s="10" t="n">
        <f aca="false">E230/'Correction factors'!$B$10</f>
        <v>29.6792</v>
      </c>
      <c r="G230" s="11" t="n">
        <v>510</v>
      </c>
    </row>
    <row r="231" customFormat="false" ht="15" hidden="false" customHeight="false" outlineLevel="0" collapsed="false">
      <c r="A231" s="10" t="n">
        <v>48.75488114357</v>
      </c>
      <c r="B231" s="11" t="n">
        <v>340</v>
      </c>
      <c r="C231" s="12" t="n">
        <f aca="false">B231*'Correction factors'!$B$7</f>
        <v>1645.26</v>
      </c>
      <c r="D231" s="13" t="n">
        <v>1.785728</v>
      </c>
      <c r="E231" s="14" t="n">
        <v>360</v>
      </c>
      <c r="F231" s="10" t="n">
        <f aca="false">E231/'Correction factors'!$B$10</f>
        <v>29.034</v>
      </c>
      <c r="G231" s="11" t="n">
        <v>510</v>
      </c>
    </row>
    <row r="232" customFormat="false" ht="15" hidden="false" customHeight="false" outlineLevel="0" collapsed="false">
      <c r="A232" s="10" t="n">
        <v>49.1704778671265</v>
      </c>
      <c r="B232" s="11" t="n">
        <v>340</v>
      </c>
      <c r="C232" s="12" t="n">
        <f aca="false">B232*'Correction factors'!$B$7</f>
        <v>1645.26</v>
      </c>
      <c r="D232" s="13" t="n">
        <v>1.795549</v>
      </c>
      <c r="E232" s="14" t="n">
        <v>368</v>
      </c>
      <c r="F232" s="10" t="n">
        <f aca="false">E232/'Correction factors'!$B$10</f>
        <v>29.6792</v>
      </c>
      <c r="G232" s="11" t="n">
        <v>510</v>
      </c>
    </row>
    <row r="233" customFormat="false" ht="15" hidden="false" customHeight="false" outlineLevel="0" collapsed="false">
      <c r="A233" s="10" t="n">
        <v>49.1704778671265</v>
      </c>
      <c r="B233" s="11" t="n">
        <v>340</v>
      </c>
      <c r="C233" s="12" t="n">
        <f aca="false">B233*'Correction factors'!$B$7</f>
        <v>1645.26</v>
      </c>
      <c r="D233" s="13" t="n">
        <v>1.775906</v>
      </c>
      <c r="E233" s="14" t="n">
        <v>360</v>
      </c>
      <c r="F233" s="10" t="n">
        <f aca="false">E233/'Correction factors'!$B$10</f>
        <v>29.034</v>
      </c>
      <c r="G233" s="11" t="n">
        <v>510</v>
      </c>
    </row>
    <row r="234" customFormat="false" ht="15" hidden="false" customHeight="false" outlineLevel="0" collapsed="false">
      <c r="A234" s="10" t="n">
        <v>49.5863101482391</v>
      </c>
      <c r="B234" s="11" t="n">
        <v>340</v>
      </c>
      <c r="C234" s="12" t="n">
        <f aca="false">B234*'Correction factors'!$B$7</f>
        <v>1645.26</v>
      </c>
      <c r="D234" s="13" t="n">
        <v>1.775906</v>
      </c>
      <c r="E234" s="14" t="n">
        <v>368</v>
      </c>
      <c r="F234" s="10" t="n">
        <f aca="false">E234/'Correction factors'!$B$10</f>
        <v>29.6792</v>
      </c>
      <c r="G234" s="11" t="n">
        <v>510</v>
      </c>
    </row>
    <row r="235" customFormat="false" ht="15" hidden="false" customHeight="false" outlineLevel="0" collapsed="false">
      <c r="A235" s="10" t="n">
        <v>49.5863101482391</v>
      </c>
      <c r="B235" s="11" t="n">
        <v>340</v>
      </c>
      <c r="C235" s="12" t="n">
        <f aca="false">B235*'Correction factors'!$B$7</f>
        <v>1645.26</v>
      </c>
      <c r="D235" s="13" t="n">
        <v>1.775906</v>
      </c>
      <c r="E235" s="14" t="n">
        <v>360</v>
      </c>
      <c r="F235" s="10" t="n">
        <f aca="false">E235/'Correction factors'!$B$10</f>
        <v>29.034</v>
      </c>
      <c r="G235" s="11" t="n">
        <v>510</v>
      </c>
    </row>
    <row r="236" customFormat="false" ht="15" hidden="false" customHeight="false" outlineLevel="0" collapsed="false">
      <c r="A236" s="10" t="n">
        <v>50.004664182663</v>
      </c>
      <c r="B236" s="11" t="n">
        <v>340</v>
      </c>
      <c r="C236" s="12" t="n">
        <f aca="false">B236*'Correction factors'!$B$7</f>
        <v>1645.26</v>
      </c>
      <c r="D236" s="13" t="n">
        <v>1.775906</v>
      </c>
      <c r="E236" s="14" t="n">
        <v>360</v>
      </c>
      <c r="F236" s="10" t="n">
        <f aca="false">E236/'Correction factors'!$B$10</f>
        <v>29.034</v>
      </c>
      <c r="G236" s="11" t="n">
        <v>510</v>
      </c>
    </row>
    <row r="237" customFormat="false" ht="15" hidden="false" customHeight="false" outlineLevel="0" collapsed="false">
      <c r="A237" s="10" t="n">
        <v>50.004664182663</v>
      </c>
      <c r="B237" s="11" t="n">
        <v>340</v>
      </c>
      <c r="C237" s="12" t="n">
        <f aca="false">B237*'Correction factors'!$B$7</f>
        <v>1645.26</v>
      </c>
      <c r="D237" s="13" t="n">
        <v>1.785728</v>
      </c>
      <c r="E237" s="14" t="n">
        <v>360</v>
      </c>
      <c r="F237" s="10" t="n">
        <f aca="false">E237/'Correction factors'!$B$10</f>
        <v>29.034</v>
      </c>
      <c r="G237" s="11" t="n">
        <v>510</v>
      </c>
    </row>
    <row r="238" customFormat="false" ht="15" hidden="false" customHeight="false" outlineLevel="0" collapsed="false">
      <c r="A238" s="10" t="n">
        <v>50.4515328407288</v>
      </c>
      <c r="B238" s="11" t="n">
        <v>340</v>
      </c>
      <c r="C238" s="12" t="n">
        <f aca="false">B238*'Correction factors'!$B$7</f>
        <v>1645.26</v>
      </c>
      <c r="D238" s="13" t="n">
        <v>1.775906</v>
      </c>
      <c r="E238" s="14" t="n">
        <v>360</v>
      </c>
      <c r="F238" s="10" t="n">
        <f aca="false">E238/'Correction factors'!$B$10</f>
        <v>29.034</v>
      </c>
      <c r="G238" s="11" t="n">
        <v>510</v>
      </c>
    </row>
    <row r="239" customFormat="false" ht="15" hidden="false" customHeight="false" outlineLevel="0" collapsed="false">
      <c r="A239" s="10" t="n">
        <v>50.4515328407288</v>
      </c>
      <c r="B239" s="11" t="n">
        <v>340</v>
      </c>
      <c r="C239" s="12" t="n">
        <f aca="false">B239*'Correction factors'!$B$7</f>
        <v>1645.26</v>
      </c>
      <c r="D239" s="13" t="n">
        <v>1.775906</v>
      </c>
      <c r="E239" s="14" t="n">
        <v>360</v>
      </c>
      <c r="F239" s="10" t="n">
        <f aca="false">E239/'Correction factors'!$B$10</f>
        <v>29.034</v>
      </c>
      <c r="G239" s="11" t="n">
        <v>510</v>
      </c>
    </row>
    <row r="240" customFormat="false" ht="15" hidden="false" customHeight="false" outlineLevel="0" collapsed="false">
      <c r="A240" s="10" t="n">
        <v>50.8818392753601</v>
      </c>
      <c r="B240" s="11" t="n">
        <v>340</v>
      </c>
      <c r="C240" s="12" t="n">
        <f aca="false">B240*'Correction factors'!$B$7</f>
        <v>1645.26</v>
      </c>
      <c r="D240" s="13" t="n">
        <v>1.766084</v>
      </c>
      <c r="E240" s="14" t="n">
        <v>360</v>
      </c>
      <c r="F240" s="10" t="n">
        <f aca="false">E240/'Correction factors'!$B$10</f>
        <v>29.034</v>
      </c>
      <c r="G240" s="11" t="n">
        <v>510</v>
      </c>
    </row>
    <row r="241" customFormat="false" ht="15" hidden="false" customHeight="false" outlineLevel="0" collapsed="false">
      <c r="A241" s="10" t="n">
        <v>50.8818392753601</v>
      </c>
      <c r="B241" s="11" t="n">
        <v>340</v>
      </c>
      <c r="C241" s="12" t="n">
        <f aca="false">B241*'Correction factors'!$B$7</f>
        <v>1645.26</v>
      </c>
      <c r="D241" s="13" t="n">
        <v>1.766084</v>
      </c>
      <c r="E241" s="14" t="n">
        <v>360</v>
      </c>
      <c r="F241" s="10" t="n">
        <f aca="false">E241/'Correction factors'!$B$10</f>
        <v>29.034</v>
      </c>
      <c r="G241" s="11" t="n">
        <v>510</v>
      </c>
    </row>
    <row r="242" customFormat="false" ht="15" hidden="false" customHeight="false" outlineLevel="0" collapsed="false">
      <c r="A242" s="10" t="n">
        <v>51.3134064674377</v>
      </c>
      <c r="B242" s="11" t="n">
        <v>340</v>
      </c>
      <c r="C242" s="12" t="n">
        <f aca="false">B242*'Correction factors'!$B$7</f>
        <v>1645.26</v>
      </c>
      <c r="D242" s="13" t="n">
        <v>1.766084</v>
      </c>
      <c r="E242" s="14" t="n">
        <v>352</v>
      </c>
      <c r="F242" s="10" t="n">
        <f aca="false">E242/'Correction factors'!$B$10</f>
        <v>28.3888</v>
      </c>
      <c r="G242" s="11" t="n">
        <v>510</v>
      </c>
    </row>
    <row r="243" customFormat="false" ht="15" hidden="false" customHeight="false" outlineLevel="0" collapsed="false">
      <c r="A243" s="10" t="n">
        <v>51.3134064674377</v>
      </c>
      <c r="B243" s="11" t="n">
        <v>320</v>
      </c>
      <c r="C243" s="12" t="n">
        <f aca="false">B243*'Correction factors'!$B$7</f>
        <v>1548.48</v>
      </c>
      <c r="D243" s="13" t="n">
        <v>1.766084</v>
      </c>
      <c r="E243" s="14" t="n">
        <v>360</v>
      </c>
      <c r="F243" s="10" t="n">
        <f aca="false">E243/'Correction factors'!$B$10</f>
        <v>29.034</v>
      </c>
      <c r="G243" s="11" t="n">
        <v>510</v>
      </c>
    </row>
    <row r="244" customFormat="false" ht="15" hidden="false" customHeight="false" outlineLevel="0" collapsed="false">
      <c r="A244" s="10" t="n">
        <v>51.7450103759766</v>
      </c>
      <c r="B244" s="11" t="n">
        <v>320</v>
      </c>
      <c r="C244" s="12" t="n">
        <f aca="false">B244*'Correction factors'!$B$7</f>
        <v>1548.48</v>
      </c>
      <c r="D244" s="13" t="n">
        <v>1.756263</v>
      </c>
      <c r="E244" s="14" t="n">
        <v>352</v>
      </c>
      <c r="F244" s="10" t="n">
        <f aca="false">E244/'Correction factors'!$B$10</f>
        <v>28.3888</v>
      </c>
      <c r="G244" s="11" t="n">
        <v>510</v>
      </c>
    </row>
    <row r="245" customFormat="false" ht="15" hidden="false" customHeight="false" outlineLevel="0" collapsed="false">
      <c r="A245" s="10" t="n">
        <v>51.7450103759766</v>
      </c>
      <c r="B245" s="11" t="n">
        <v>320</v>
      </c>
      <c r="C245" s="12" t="n">
        <f aca="false">B245*'Correction factors'!$B$7</f>
        <v>1548.48</v>
      </c>
      <c r="D245" s="13" t="n">
        <v>1.766084</v>
      </c>
      <c r="E245" s="14" t="n">
        <v>352</v>
      </c>
      <c r="F245" s="10" t="n">
        <f aca="false">E245/'Correction factors'!$B$10</f>
        <v>28.3888</v>
      </c>
      <c r="G245" s="11" t="n">
        <v>510</v>
      </c>
    </row>
    <row r="246" customFormat="false" ht="15" hidden="false" customHeight="false" outlineLevel="0" collapsed="false">
      <c r="A246" s="10" t="n">
        <v>52.2268016338348</v>
      </c>
      <c r="B246" s="11" t="n">
        <v>320</v>
      </c>
      <c r="C246" s="12" t="n">
        <f aca="false">B246*'Correction factors'!$B$7</f>
        <v>1548.48</v>
      </c>
      <c r="D246" s="13" t="n">
        <v>1.756263</v>
      </c>
      <c r="E246" s="14" t="n">
        <v>360</v>
      </c>
      <c r="F246" s="10" t="n">
        <f aca="false">E246/'Correction factors'!$B$10</f>
        <v>29.034</v>
      </c>
      <c r="G246" s="11" t="n">
        <v>510</v>
      </c>
    </row>
    <row r="247" customFormat="false" ht="15" hidden="false" customHeight="false" outlineLevel="0" collapsed="false">
      <c r="A247" s="10" t="n">
        <v>52.2268016338348</v>
      </c>
      <c r="B247" s="11" t="n">
        <v>320</v>
      </c>
      <c r="C247" s="12" t="n">
        <f aca="false">B247*'Correction factors'!$B$7</f>
        <v>1548.48</v>
      </c>
      <c r="D247" s="13" t="n">
        <v>1.756263</v>
      </c>
      <c r="E247" s="14" t="n">
        <v>344</v>
      </c>
      <c r="F247" s="10" t="n">
        <f aca="false">E247/'Correction factors'!$B$10</f>
        <v>27.7436</v>
      </c>
      <c r="G247" s="11" t="n">
        <v>510</v>
      </c>
    </row>
    <row r="248" customFormat="false" ht="15" hidden="false" customHeight="false" outlineLevel="0" collapsed="false">
      <c r="A248" s="10" t="n">
        <v>52.2268016338348</v>
      </c>
      <c r="B248" s="11" t="n">
        <v>300</v>
      </c>
      <c r="C248" s="12" t="n">
        <f aca="false">B248*'Correction factors'!$B$7</f>
        <v>1451.7</v>
      </c>
      <c r="D248" s="13" t="n">
        <v>1.746441</v>
      </c>
      <c r="E248" s="14" t="n">
        <v>352</v>
      </c>
      <c r="F248" s="10" t="n">
        <f aca="false">E248/'Correction factors'!$B$10</f>
        <v>28.3888</v>
      </c>
      <c r="G248" s="11" t="n">
        <v>510</v>
      </c>
    </row>
    <row r="249" customFormat="false" ht="15" hidden="false" customHeight="false" outlineLevel="0" collapsed="false">
      <c r="A249" s="10" t="n">
        <v>52.7185587882996</v>
      </c>
      <c r="B249" s="11" t="n">
        <v>320</v>
      </c>
      <c r="C249" s="12" t="n">
        <f aca="false">B249*'Correction factors'!$B$7</f>
        <v>1548.48</v>
      </c>
      <c r="D249" s="13" t="n">
        <v>1.756263</v>
      </c>
      <c r="E249" s="14" t="n">
        <v>352</v>
      </c>
      <c r="F249" s="10" t="n">
        <f aca="false">E249/'Correction factors'!$B$10</f>
        <v>28.3888</v>
      </c>
      <c r="G249" s="11" t="n">
        <v>510</v>
      </c>
    </row>
    <row r="250" customFormat="false" ht="15" hidden="false" customHeight="false" outlineLevel="0" collapsed="false">
      <c r="A250" s="10" t="n">
        <v>52.7185587882996</v>
      </c>
      <c r="B250" s="11" t="n">
        <v>320</v>
      </c>
      <c r="C250" s="12" t="n">
        <f aca="false">B250*'Correction factors'!$B$7</f>
        <v>1548.48</v>
      </c>
      <c r="D250" s="13" t="n">
        <v>1.746441</v>
      </c>
      <c r="E250" s="14" t="n">
        <v>352</v>
      </c>
      <c r="F250" s="10" t="n">
        <f aca="false">E250/'Correction factors'!$B$10</f>
        <v>28.3888</v>
      </c>
      <c r="G250" s="11" t="n">
        <v>510</v>
      </c>
    </row>
    <row r="251" customFormat="false" ht="15" hidden="false" customHeight="false" outlineLevel="0" collapsed="false">
      <c r="A251" s="10" t="n">
        <v>53.1727612018585</v>
      </c>
      <c r="B251" s="11" t="n">
        <v>320</v>
      </c>
      <c r="C251" s="12" t="n">
        <f aca="false">B251*'Correction factors'!$B$7</f>
        <v>1548.48</v>
      </c>
      <c r="D251" s="13" t="n">
        <v>1.746441</v>
      </c>
      <c r="E251" s="14" t="n">
        <v>344</v>
      </c>
      <c r="F251" s="10" t="n">
        <f aca="false">E251/'Correction factors'!$B$10</f>
        <v>27.7436</v>
      </c>
      <c r="G251" s="11" t="n">
        <v>510</v>
      </c>
    </row>
    <row r="252" customFormat="false" ht="15" hidden="false" customHeight="false" outlineLevel="0" collapsed="false">
      <c r="A252" s="10" t="n">
        <v>53.1727612018585</v>
      </c>
      <c r="B252" s="11" t="n">
        <v>320</v>
      </c>
      <c r="C252" s="12" t="n">
        <f aca="false">B252*'Correction factors'!$B$7</f>
        <v>1548.48</v>
      </c>
      <c r="D252" s="13" t="n">
        <v>1.746441</v>
      </c>
      <c r="E252" s="14" t="n">
        <v>352</v>
      </c>
      <c r="F252" s="10" t="n">
        <f aca="false">E252/'Correction factors'!$B$10</f>
        <v>28.3888</v>
      </c>
      <c r="G252" s="11" t="n">
        <v>510</v>
      </c>
    </row>
    <row r="253" customFormat="false" ht="15" hidden="false" customHeight="false" outlineLevel="0" collapsed="false">
      <c r="A253" s="10" t="n">
        <v>53.5977475643158</v>
      </c>
      <c r="B253" s="11" t="n">
        <v>320</v>
      </c>
      <c r="C253" s="12" t="n">
        <f aca="false">B253*'Correction factors'!$B$7</f>
        <v>1548.48</v>
      </c>
      <c r="D253" s="13" t="n">
        <v>1.73662</v>
      </c>
      <c r="E253" s="14" t="n">
        <v>344</v>
      </c>
      <c r="F253" s="10" t="n">
        <f aca="false">E253/'Correction factors'!$B$10</f>
        <v>27.7436</v>
      </c>
      <c r="G253" s="11" t="n">
        <v>510</v>
      </c>
    </row>
    <row r="254" customFormat="false" ht="15" hidden="false" customHeight="false" outlineLevel="0" collapsed="false">
      <c r="A254" s="10" t="n">
        <v>53.5977475643158</v>
      </c>
      <c r="B254" s="11" t="n">
        <v>300</v>
      </c>
      <c r="C254" s="12" t="n">
        <f aca="false">B254*'Correction factors'!$B$7</f>
        <v>1451.7</v>
      </c>
      <c r="D254" s="13" t="n">
        <v>1.746441</v>
      </c>
      <c r="E254" s="14" t="n">
        <v>344</v>
      </c>
      <c r="F254" s="10" t="n">
        <f aca="false">E254/'Correction factors'!$B$10</f>
        <v>27.7436</v>
      </c>
      <c r="G254" s="11" t="n">
        <v>510</v>
      </c>
    </row>
    <row r="255" customFormat="false" ht="15" hidden="false" customHeight="false" outlineLevel="0" collapsed="false">
      <c r="A255" s="10" t="n">
        <v>54.0322470664978</v>
      </c>
      <c r="B255" s="11" t="n">
        <v>300</v>
      </c>
      <c r="C255" s="12" t="n">
        <f aca="false">B255*'Correction factors'!$B$7</f>
        <v>1451.7</v>
      </c>
      <c r="D255" s="13" t="n">
        <v>1.746441</v>
      </c>
      <c r="E255" s="14" t="n">
        <v>344</v>
      </c>
      <c r="F255" s="10" t="n">
        <f aca="false">E255/'Correction factors'!$B$10</f>
        <v>27.7436</v>
      </c>
      <c r="G255" s="11" t="n">
        <v>510</v>
      </c>
    </row>
    <row r="256" customFormat="false" ht="15" hidden="false" customHeight="false" outlineLevel="0" collapsed="false">
      <c r="A256" s="10" t="n">
        <v>54.0322470664978</v>
      </c>
      <c r="B256" s="11" t="n">
        <v>300</v>
      </c>
      <c r="C256" s="12" t="n">
        <f aca="false">B256*'Correction factors'!$B$7</f>
        <v>1451.7</v>
      </c>
      <c r="D256" s="13" t="n">
        <v>1.73662</v>
      </c>
      <c r="E256" s="14" t="n">
        <v>344</v>
      </c>
      <c r="F256" s="10" t="n">
        <f aca="false">E256/'Correction factors'!$B$10</f>
        <v>27.7436</v>
      </c>
      <c r="G256" s="11" t="n">
        <v>510</v>
      </c>
    </row>
    <row r="257" customFormat="false" ht="15" hidden="false" customHeight="false" outlineLevel="0" collapsed="false">
      <c r="A257" s="10" t="n">
        <v>54.4735796451569</v>
      </c>
      <c r="B257" s="11" t="n">
        <v>300</v>
      </c>
      <c r="C257" s="12" t="n">
        <f aca="false">B257*'Correction factors'!$B$7</f>
        <v>1451.7</v>
      </c>
      <c r="D257" s="13" t="n">
        <v>1.726798</v>
      </c>
      <c r="E257" s="14" t="n">
        <v>344</v>
      </c>
      <c r="F257" s="10" t="n">
        <f aca="false">E257/'Correction factors'!$B$10</f>
        <v>27.7436</v>
      </c>
      <c r="G257" s="11" t="n">
        <v>510</v>
      </c>
    </row>
    <row r="258" customFormat="false" ht="15" hidden="false" customHeight="false" outlineLevel="0" collapsed="false">
      <c r="A258" s="10" t="n">
        <v>54.4735796451569</v>
      </c>
      <c r="B258" s="11" t="n">
        <v>300</v>
      </c>
      <c r="C258" s="12" t="n">
        <f aca="false">B258*'Correction factors'!$B$7</f>
        <v>1451.7</v>
      </c>
      <c r="D258" s="13" t="n">
        <v>1.726798</v>
      </c>
      <c r="E258" s="14" t="n">
        <v>344</v>
      </c>
      <c r="F258" s="10" t="n">
        <f aca="false">E258/'Correction factors'!$B$10</f>
        <v>27.7436</v>
      </c>
      <c r="G258" s="11" t="n">
        <v>510</v>
      </c>
    </row>
    <row r="259" customFormat="false" ht="15" hidden="false" customHeight="false" outlineLevel="0" collapsed="false">
      <c r="A259" s="10" t="n">
        <v>54.9150562286377</v>
      </c>
      <c r="B259" s="11" t="n">
        <v>300</v>
      </c>
      <c r="C259" s="12" t="n">
        <f aca="false">B259*'Correction factors'!$B$7</f>
        <v>1451.7</v>
      </c>
      <c r="D259" s="13" t="n">
        <v>1.73662</v>
      </c>
      <c r="E259" s="14" t="n">
        <v>344</v>
      </c>
      <c r="F259" s="10" t="n">
        <f aca="false">E259/'Correction factors'!$B$10</f>
        <v>27.7436</v>
      </c>
      <c r="G259" s="11" t="n">
        <v>510</v>
      </c>
    </row>
    <row r="260" customFormat="false" ht="15" hidden="false" customHeight="false" outlineLevel="0" collapsed="false">
      <c r="A260" s="10" t="n">
        <v>54.9150562286377</v>
      </c>
      <c r="B260" s="11" t="n">
        <v>320</v>
      </c>
      <c r="C260" s="12" t="n">
        <f aca="false">B260*'Correction factors'!$B$7</f>
        <v>1548.48</v>
      </c>
      <c r="D260" s="13" t="n">
        <v>1.726798</v>
      </c>
      <c r="E260" s="14" t="n">
        <v>344</v>
      </c>
      <c r="F260" s="10" t="n">
        <f aca="false">E260/'Correction factors'!$B$10</f>
        <v>27.7436</v>
      </c>
      <c r="G260" s="11" t="n">
        <v>510</v>
      </c>
    </row>
    <row r="261" customFormat="false" ht="15" hidden="false" customHeight="false" outlineLevel="0" collapsed="false">
      <c r="A261" s="10" t="n">
        <v>54.9150562286377</v>
      </c>
      <c r="B261" s="11" t="n">
        <v>320</v>
      </c>
      <c r="C261" s="12" t="n">
        <f aca="false">B261*'Correction factors'!$B$7</f>
        <v>1548.48</v>
      </c>
      <c r="D261" s="13" t="n">
        <v>1.726798</v>
      </c>
      <c r="E261" s="14" t="n">
        <v>344</v>
      </c>
      <c r="F261" s="10" t="n">
        <f aca="false">E261/'Correction factors'!$B$10</f>
        <v>27.7436</v>
      </c>
      <c r="G261" s="11" t="n">
        <v>510</v>
      </c>
    </row>
    <row r="262" customFormat="false" ht="15" hidden="false" customHeight="false" outlineLevel="0" collapsed="false">
      <c r="A262" s="10" t="n">
        <v>55.4219014644623</v>
      </c>
      <c r="B262" s="11" t="n">
        <v>320</v>
      </c>
      <c r="C262" s="12" t="n">
        <f aca="false">B262*'Correction factors'!$B$7</f>
        <v>1548.48</v>
      </c>
      <c r="D262" s="13" t="n">
        <v>1.716976</v>
      </c>
      <c r="E262" s="14" t="n">
        <v>336</v>
      </c>
      <c r="F262" s="10" t="n">
        <f aca="false">E262/'Correction factors'!$B$10</f>
        <v>27.0984</v>
      </c>
      <c r="G262" s="11" t="n">
        <v>510</v>
      </c>
    </row>
    <row r="263" customFormat="false" ht="15" hidden="false" customHeight="false" outlineLevel="0" collapsed="false">
      <c r="A263" s="10" t="n">
        <v>55.4219014644623</v>
      </c>
      <c r="B263" s="11" t="n">
        <v>320</v>
      </c>
      <c r="C263" s="12" t="n">
        <f aca="false">B263*'Correction factors'!$B$7</f>
        <v>1548.48</v>
      </c>
      <c r="D263" s="13" t="n">
        <v>1.726798</v>
      </c>
      <c r="E263" s="14" t="n">
        <v>344</v>
      </c>
      <c r="F263" s="10" t="n">
        <f aca="false">E263/'Correction factors'!$B$10</f>
        <v>27.7436</v>
      </c>
      <c r="G263" s="11" t="n">
        <v>510</v>
      </c>
    </row>
    <row r="264" customFormat="false" ht="15" hidden="false" customHeight="false" outlineLevel="0" collapsed="false">
      <c r="A264" s="10" t="n">
        <v>55.8594763278961</v>
      </c>
      <c r="B264" s="11" t="n">
        <v>320</v>
      </c>
      <c r="C264" s="12" t="n">
        <f aca="false">B264*'Correction factors'!$B$7</f>
        <v>1548.48</v>
      </c>
      <c r="D264" s="13" t="n">
        <v>1.726798</v>
      </c>
      <c r="E264" s="14" t="n">
        <v>336</v>
      </c>
      <c r="F264" s="10" t="n">
        <f aca="false">E264/'Correction factors'!$B$10</f>
        <v>27.0984</v>
      </c>
      <c r="G264" s="11" t="n">
        <v>510</v>
      </c>
    </row>
    <row r="265" customFormat="false" ht="15" hidden="false" customHeight="false" outlineLevel="0" collapsed="false">
      <c r="A265" s="10" t="n">
        <v>55.8594763278961</v>
      </c>
      <c r="B265" s="11" t="n">
        <v>320</v>
      </c>
      <c r="C265" s="12" t="n">
        <f aca="false">B265*'Correction factors'!$B$7</f>
        <v>1548.48</v>
      </c>
      <c r="D265" s="13" t="n">
        <v>1.716976</v>
      </c>
      <c r="E265" s="14" t="n">
        <v>344</v>
      </c>
      <c r="F265" s="10" t="n">
        <f aca="false">E265/'Correction factors'!$B$10</f>
        <v>27.7436</v>
      </c>
      <c r="G265" s="11" t="n">
        <v>510</v>
      </c>
    </row>
    <row r="266" customFormat="false" ht="15" hidden="false" customHeight="false" outlineLevel="0" collapsed="false">
      <c r="A266" s="10" t="n">
        <v>56.3027110099793</v>
      </c>
      <c r="B266" s="11" t="n">
        <v>300</v>
      </c>
      <c r="C266" s="12" t="n">
        <f aca="false">B266*'Correction factors'!$B$7</f>
        <v>1451.7</v>
      </c>
      <c r="D266" s="13" t="n">
        <v>1.716976</v>
      </c>
      <c r="E266" s="14" t="n">
        <v>336</v>
      </c>
      <c r="F266" s="10" t="n">
        <f aca="false">E266/'Correction factors'!$B$10</f>
        <v>27.0984</v>
      </c>
      <c r="G266" s="11" t="n">
        <v>510</v>
      </c>
    </row>
    <row r="267" customFormat="false" ht="15" hidden="false" customHeight="false" outlineLevel="0" collapsed="false">
      <c r="A267" s="10" t="n">
        <v>56.3027110099793</v>
      </c>
      <c r="B267" s="11" t="n">
        <v>300</v>
      </c>
      <c r="C267" s="12" t="n">
        <f aca="false">B267*'Correction factors'!$B$7</f>
        <v>1451.7</v>
      </c>
      <c r="D267" s="13" t="n">
        <v>1.726798</v>
      </c>
      <c r="E267" s="14" t="n">
        <v>336</v>
      </c>
      <c r="F267" s="10" t="n">
        <f aca="false">E267/'Correction factors'!$B$10</f>
        <v>27.0984</v>
      </c>
      <c r="G267" s="11" t="n">
        <v>510</v>
      </c>
    </row>
    <row r="268" customFormat="false" ht="15" hidden="false" customHeight="false" outlineLevel="0" collapsed="false">
      <c r="A268" s="10" t="n">
        <v>56.7757360935211</v>
      </c>
      <c r="B268" s="11" t="n">
        <v>300</v>
      </c>
      <c r="C268" s="12" t="n">
        <f aca="false">B268*'Correction factors'!$B$7</f>
        <v>1451.7</v>
      </c>
      <c r="D268" s="13" t="n">
        <v>1.716976</v>
      </c>
      <c r="E268" s="14" t="n">
        <v>344</v>
      </c>
      <c r="F268" s="10" t="n">
        <f aca="false">E268/'Correction factors'!$B$10</f>
        <v>27.7436</v>
      </c>
      <c r="G268" s="11" t="n">
        <v>510</v>
      </c>
    </row>
    <row r="269" customFormat="false" ht="15" hidden="false" customHeight="false" outlineLevel="0" collapsed="false">
      <c r="A269" s="10" t="n">
        <v>56.7757360935211</v>
      </c>
      <c r="B269" s="11" t="n">
        <v>300</v>
      </c>
      <c r="C269" s="12" t="n">
        <f aca="false">B269*'Correction factors'!$B$7</f>
        <v>1451.7</v>
      </c>
      <c r="D269" s="13" t="n">
        <v>1.707155</v>
      </c>
      <c r="E269" s="14" t="n">
        <v>336</v>
      </c>
      <c r="F269" s="10" t="n">
        <f aca="false">E269/'Correction factors'!$B$10</f>
        <v>27.0984</v>
      </c>
      <c r="G269" s="11" t="n">
        <v>510</v>
      </c>
    </row>
    <row r="270" customFormat="false" ht="15" hidden="false" customHeight="false" outlineLevel="0" collapsed="false">
      <c r="A270" s="10" t="n">
        <v>56.7757360935211</v>
      </c>
      <c r="B270" s="11" t="n">
        <v>300</v>
      </c>
      <c r="C270" s="12" t="n">
        <f aca="false">B270*'Correction factors'!$B$7</f>
        <v>1451.7</v>
      </c>
      <c r="D270" s="13" t="n">
        <v>1.697333</v>
      </c>
      <c r="E270" s="14" t="n">
        <v>336</v>
      </c>
      <c r="F270" s="10" t="n">
        <f aca="false">E270/'Correction factors'!$B$10</f>
        <v>27.0984</v>
      </c>
      <c r="G270" s="11" t="n">
        <v>510</v>
      </c>
    </row>
    <row r="271" customFormat="false" ht="15" hidden="false" customHeight="false" outlineLevel="0" collapsed="false">
      <c r="A271" s="10" t="n">
        <v>57.2830333709717</v>
      </c>
      <c r="B271" s="11" t="n">
        <v>300</v>
      </c>
      <c r="C271" s="12" t="n">
        <f aca="false">B271*'Correction factors'!$B$7</f>
        <v>1451.7</v>
      </c>
      <c r="D271" s="13" t="n">
        <v>1.707155</v>
      </c>
      <c r="E271" s="14" t="n">
        <v>336</v>
      </c>
      <c r="F271" s="10" t="n">
        <f aca="false">E271/'Correction factors'!$B$10</f>
        <v>27.0984</v>
      </c>
      <c r="G271" s="11" t="n">
        <v>510</v>
      </c>
    </row>
    <row r="272" customFormat="false" ht="15" hidden="false" customHeight="false" outlineLevel="0" collapsed="false">
      <c r="A272" s="10" t="n">
        <v>57.2830333709717</v>
      </c>
      <c r="B272" s="11" t="n">
        <v>300</v>
      </c>
      <c r="C272" s="12" t="n">
        <f aca="false">B272*'Correction factors'!$B$7</f>
        <v>1451.7</v>
      </c>
      <c r="D272" s="13" t="n">
        <v>1.707155</v>
      </c>
      <c r="E272" s="14" t="n">
        <v>336</v>
      </c>
      <c r="F272" s="10" t="n">
        <f aca="false">E272/'Correction factors'!$B$10</f>
        <v>27.0984</v>
      </c>
      <c r="G272" s="11" t="n">
        <v>510</v>
      </c>
    </row>
    <row r="273" customFormat="false" ht="15" hidden="false" customHeight="false" outlineLevel="0" collapsed="false">
      <c r="A273" s="10" t="n">
        <v>57.7193448543549</v>
      </c>
      <c r="B273" s="11" t="n">
        <v>300</v>
      </c>
      <c r="C273" s="12" t="n">
        <f aca="false">B273*'Correction factors'!$B$7</f>
        <v>1451.7</v>
      </c>
      <c r="D273" s="13" t="n">
        <v>1.707155</v>
      </c>
      <c r="E273" s="14" t="n">
        <v>328</v>
      </c>
      <c r="F273" s="10" t="n">
        <f aca="false">E273/'Correction factors'!$B$10</f>
        <v>26.4532</v>
      </c>
      <c r="G273" s="11" t="n">
        <v>510</v>
      </c>
    </row>
    <row r="274" customFormat="false" ht="15" hidden="false" customHeight="false" outlineLevel="0" collapsed="false">
      <c r="A274" s="10" t="n">
        <v>57.7193448543549</v>
      </c>
      <c r="B274" s="11" t="n">
        <v>300</v>
      </c>
      <c r="C274" s="12" t="n">
        <f aca="false">B274*'Correction factors'!$B$7</f>
        <v>1451.7</v>
      </c>
      <c r="D274" s="13" t="n">
        <v>1.697333</v>
      </c>
      <c r="E274" s="14" t="n">
        <v>336</v>
      </c>
      <c r="F274" s="10" t="n">
        <f aca="false">E274/'Correction factors'!$B$10</f>
        <v>27.0984</v>
      </c>
      <c r="G274" s="11" t="n">
        <v>510</v>
      </c>
    </row>
    <row r="275" customFormat="false" ht="15" hidden="false" customHeight="false" outlineLevel="0" collapsed="false">
      <c r="A275" s="10" t="n">
        <v>58.1710224151611</v>
      </c>
      <c r="B275" s="11" t="n">
        <v>300</v>
      </c>
      <c r="C275" s="12" t="n">
        <f aca="false">B275*'Correction factors'!$B$7</f>
        <v>1451.7</v>
      </c>
      <c r="D275" s="13" t="n">
        <v>1.697333</v>
      </c>
      <c r="E275" s="14" t="n">
        <v>336</v>
      </c>
      <c r="F275" s="10" t="n">
        <f aca="false">E275/'Correction factors'!$B$10</f>
        <v>27.0984</v>
      </c>
      <c r="G275" s="11" t="n">
        <v>510</v>
      </c>
    </row>
    <row r="276" customFormat="false" ht="15" hidden="false" customHeight="false" outlineLevel="0" collapsed="false">
      <c r="A276" s="10" t="n">
        <v>58.1710224151611</v>
      </c>
      <c r="B276" s="11" t="n">
        <v>300</v>
      </c>
      <c r="C276" s="12" t="n">
        <f aca="false">B276*'Correction factors'!$B$7</f>
        <v>1451.7</v>
      </c>
      <c r="D276" s="13" t="n">
        <v>1.697333</v>
      </c>
      <c r="E276" s="14" t="n">
        <v>336</v>
      </c>
      <c r="F276" s="10" t="n">
        <f aca="false">E276/'Correction factors'!$B$10</f>
        <v>27.0984</v>
      </c>
      <c r="G276" s="11" t="n">
        <v>510</v>
      </c>
    </row>
    <row r="277" customFormat="false" ht="15" hidden="false" customHeight="false" outlineLevel="0" collapsed="false">
      <c r="A277" s="10" t="n">
        <v>58.6125113964081</v>
      </c>
      <c r="B277" s="11" t="n">
        <v>300</v>
      </c>
      <c r="C277" s="12" t="n">
        <f aca="false">B277*'Correction factors'!$B$7</f>
        <v>1451.7</v>
      </c>
      <c r="D277" s="13" t="n">
        <v>1.707155</v>
      </c>
      <c r="E277" s="14" t="n">
        <v>328</v>
      </c>
      <c r="F277" s="10" t="n">
        <f aca="false">E277/'Correction factors'!$B$10</f>
        <v>26.4532</v>
      </c>
      <c r="G277" s="11" t="n">
        <v>510</v>
      </c>
    </row>
    <row r="278" customFormat="false" ht="15" hidden="false" customHeight="false" outlineLevel="0" collapsed="false">
      <c r="A278" s="10" t="n">
        <v>58.6125113964081</v>
      </c>
      <c r="B278" s="11" t="n">
        <v>300</v>
      </c>
      <c r="C278" s="12" t="n">
        <f aca="false">B278*'Correction factors'!$B$7</f>
        <v>1451.7</v>
      </c>
      <c r="D278" s="13" t="n">
        <v>1.697333</v>
      </c>
      <c r="E278" s="14" t="n">
        <v>336</v>
      </c>
      <c r="F278" s="10" t="n">
        <f aca="false">E278/'Correction factors'!$B$10</f>
        <v>27.0984</v>
      </c>
      <c r="G278" s="11" t="n">
        <v>510</v>
      </c>
    </row>
    <row r="279" customFormat="false" ht="15" hidden="false" customHeight="false" outlineLevel="0" collapsed="false">
      <c r="A279" s="10" t="n">
        <v>59.0623981952667</v>
      </c>
      <c r="B279" s="11" t="n">
        <v>280</v>
      </c>
      <c r="C279" s="12" t="n">
        <f aca="false">B279*'Correction factors'!$B$7</f>
        <v>1354.92</v>
      </c>
      <c r="D279" s="13" t="n">
        <v>1.687512</v>
      </c>
      <c r="E279" s="14" t="n">
        <v>336</v>
      </c>
      <c r="F279" s="10" t="n">
        <f aca="false">E279/'Correction factors'!$B$10</f>
        <v>27.0984</v>
      </c>
      <c r="G279" s="11" t="n">
        <v>510</v>
      </c>
    </row>
    <row r="280" customFormat="false" ht="15" hidden="false" customHeight="false" outlineLevel="0" collapsed="false">
      <c r="A280" s="10" t="n">
        <v>59.0623981952667</v>
      </c>
      <c r="B280" s="11" t="n">
        <v>300</v>
      </c>
      <c r="C280" s="12" t="n">
        <f aca="false">B280*'Correction factors'!$B$7</f>
        <v>1451.7</v>
      </c>
      <c r="D280" s="13" t="n">
        <v>1.687512</v>
      </c>
      <c r="E280" s="14" t="n">
        <v>336</v>
      </c>
      <c r="F280" s="10" t="n">
        <f aca="false">E280/'Correction factors'!$B$10</f>
        <v>27.0984</v>
      </c>
      <c r="G280" s="11" t="n">
        <v>510</v>
      </c>
    </row>
    <row r="281" customFormat="false" ht="15" hidden="false" customHeight="false" outlineLevel="0" collapsed="false">
      <c r="A281" s="10" t="n">
        <v>59.0623981952667</v>
      </c>
      <c r="B281" s="11" t="n">
        <v>280</v>
      </c>
      <c r="C281" s="12" t="n">
        <f aca="false">B281*'Correction factors'!$B$7</f>
        <v>1354.92</v>
      </c>
      <c r="D281" s="13" t="n">
        <v>1.687512</v>
      </c>
      <c r="E281" s="14" t="n">
        <v>328</v>
      </c>
      <c r="F281" s="10" t="n">
        <f aca="false">E281/'Correction factors'!$B$10</f>
        <v>26.4532</v>
      </c>
      <c r="G281" s="11" t="n">
        <v>510</v>
      </c>
    </row>
    <row r="282" customFormat="false" ht="15" hidden="false" customHeight="false" outlineLevel="0" collapsed="false">
      <c r="A282" s="10" t="n">
        <v>59.5555820465088</v>
      </c>
      <c r="B282" s="11" t="n">
        <v>280</v>
      </c>
      <c r="C282" s="12" t="n">
        <f aca="false">B282*'Correction factors'!$B$7</f>
        <v>1354.92</v>
      </c>
      <c r="D282" s="13" t="n">
        <v>1.67769</v>
      </c>
      <c r="E282" s="14" t="n">
        <v>336</v>
      </c>
      <c r="F282" s="10" t="n">
        <f aca="false">E282/'Correction factors'!$B$10</f>
        <v>27.0984</v>
      </c>
      <c r="G282" s="11" t="n">
        <v>510</v>
      </c>
    </row>
    <row r="283" customFormat="false" ht="15" hidden="false" customHeight="false" outlineLevel="0" collapsed="false">
      <c r="A283" s="10" t="n">
        <v>59.5555820465088</v>
      </c>
      <c r="B283" s="11" t="n">
        <v>280</v>
      </c>
      <c r="C283" s="12" t="n">
        <f aca="false">B283*'Correction factors'!$B$7</f>
        <v>1354.92</v>
      </c>
      <c r="D283" s="13" t="n">
        <v>1.687512</v>
      </c>
      <c r="E283" s="14" t="n">
        <v>328</v>
      </c>
      <c r="F283" s="10" t="n">
        <f aca="false">E283/'Correction factors'!$B$10</f>
        <v>26.4532</v>
      </c>
      <c r="G283" s="11" t="n">
        <v>510</v>
      </c>
    </row>
    <row r="284" customFormat="false" ht="15" hidden="false" customHeight="false" outlineLevel="0" collapsed="false">
      <c r="A284" s="10" t="n">
        <v>59.9971206188202</v>
      </c>
      <c r="B284" s="11" t="n">
        <v>280</v>
      </c>
      <c r="C284" s="12" t="n">
        <f aca="false">B284*'Correction factors'!$B$7</f>
        <v>1354.92</v>
      </c>
      <c r="D284" s="13" t="n">
        <v>1.67769</v>
      </c>
      <c r="E284" s="14" t="n">
        <v>336</v>
      </c>
      <c r="F284" s="10" t="n">
        <f aca="false">E284/'Correction factors'!$B$10</f>
        <v>27.0984</v>
      </c>
      <c r="G284" s="11" t="n">
        <v>510</v>
      </c>
    </row>
    <row r="285" customFormat="false" ht="15" hidden="false" customHeight="false" outlineLevel="0" collapsed="false">
      <c r="A285" s="10" t="n">
        <v>59.9971206188202</v>
      </c>
      <c r="B285" s="11" t="n">
        <v>280</v>
      </c>
      <c r="C285" s="12" t="n">
        <f aca="false">B285*'Correction factors'!$B$7</f>
        <v>1354.92</v>
      </c>
      <c r="D285" s="13" t="n">
        <v>1.67769</v>
      </c>
      <c r="E285" s="14" t="n">
        <v>328</v>
      </c>
      <c r="F285" s="10" t="n">
        <f aca="false">E285/'Correction factors'!$B$10</f>
        <v>26.4532</v>
      </c>
      <c r="G285" s="11" t="n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2026-08-30T12:13:11Z</dcterms:created>
  <dc:creator>openpyxl</dc:creator>
  <dc:description/>
  <dc:language>en-US</dc:language>
  <cp:lastModifiedBy/>
  <dcterms:modified xsi:type="dcterms:W3CDTF">2026-08-30T12:13:13Z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